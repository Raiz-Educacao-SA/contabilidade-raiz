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anda.silva\Desktop\"/>
    </mc:Choice>
  </mc:AlternateContent>
  <xr:revisionPtr revIDLastSave="0" documentId="13_ncr:1_{31832563-8D12-41CB-8630-76270E9D2513}" xr6:coauthVersionLast="47" xr6:coauthVersionMax="47" xr10:uidLastSave="{00000000-0000-0000-0000-000000000000}"/>
  <bookViews>
    <workbookView xWindow="-108" yWindow="-108" windowWidth="23256" windowHeight="12576" activeTab="2" xr2:uid="{0529CF6A-22EA-4B86-AF40-7534E1A71525}"/>
  </bookViews>
  <sheets>
    <sheet name="PACONT CUMULATIVO" sheetId="1" r:id="rId1"/>
    <sheet name="PACONT NÃO CUMULATIVO" sheetId="2" r:id="rId2"/>
    <sheet name="Pis-Cofins - Filial" sheetId="3" r:id="rId3"/>
  </sheets>
  <externalReferences>
    <externalReference r:id="rId4"/>
    <externalReference r:id="rId5"/>
  </externalReferences>
  <definedNames>
    <definedName name="_xlnm._FilterDatabase" localSheetId="0" hidden="1">'PACONT CUMULATIVO'!$B$60:$L$60</definedName>
    <definedName name="_xlnm._FilterDatabase" localSheetId="1" hidden="1">'PACONT NÃO CUMULATIVO'!$B$60:$L$60</definedName>
    <definedName name="_xlnm.Print_Area" localSheetId="0">'PACONT CUMULATIVO'!$B$2:$O$107</definedName>
    <definedName name="_xlnm.Print_Area" localSheetId="1">'PACONT NÃO CUMULATIVO'!$B$2:$O$107</definedName>
    <definedName name="int_CPRB.Perc" localSheetId="1">[1]!Tab_CPRB.Perc[CPRB
%]</definedName>
    <definedName name="int_CPRB.Perc" localSheetId="2">[2]!Tab_CPRB.Perc[CPRB
%]</definedName>
    <definedName name="int_CPRB.Perc">[1]!Tab_CPRB.Perc[CPRB
%]</definedName>
    <definedName name="int_MetodoRateio" localSheetId="1">[1]!Tab_MetodoRateio[MÉTODO DE RATEIO]</definedName>
    <definedName name="int_MetodoRateio" localSheetId="2">[2]!Tab_MetodoRateio[MÉTODO DE RATEIO]</definedName>
    <definedName name="int_MetodoRateio">[1]!Tab_MetodoRateio[MÉTODO DE RATEIO]</definedName>
    <definedName name="int_Regime" localSheetId="1">[1]!Tab_Regime[REGIME
PIS &amp; COFINS]</definedName>
    <definedName name="int_Regime" localSheetId="2">[2]!Tab_Regime[REGIME
PIS &amp; COFINS]</definedName>
    <definedName name="int_Regime">[1]!Tab_Regime[REGIME
PIS &amp; COFINS]</definedName>
    <definedName name="int_Tributacao" localSheetId="1">[1]!Tab_Tributacao[TRIBUTAÇÃO
CSLL &amp; IRPJ]</definedName>
    <definedName name="int_Tributacao" localSheetId="2">[2]!Tab_Tributacao[TRIBUTAÇÃO
CSLL &amp; IRPJ]</definedName>
    <definedName name="int_Tributacao">[1]!Tab_Tributacao[TRIBUTAÇÃO
CSLL &amp; IRPJ]</definedName>
    <definedName name="parm_CPRB.Perc" localSheetId="1">'PACONT NÃO CUMULATIVO'!$O$12</definedName>
    <definedName name="parm_CPRB.Perc" localSheetId="2">'[2]PACONT CUMULATIVO'!$O$12</definedName>
    <definedName name="parm_CPRB.Perc">'PACONT CUMULATIVO'!$O$12</definedName>
    <definedName name="parm_Data" localSheetId="1">'PACONT NÃO CUMULATIVO'!$M$13</definedName>
    <definedName name="parm_Data" localSheetId="2">'[2]PACONT CUMULATIVO'!$M$13</definedName>
    <definedName name="parm_Data">'PACONT CUMULATIVO'!$M$13</definedName>
    <definedName name="parm_MetodoRateio" localSheetId="1">'PACONT NÃO CUMULATIVO'!$E$13</definedName>
    <definedName name="parm_MetodoRateio" localSheetId="2">'[2]PACONT CUMULATIVO'!$E$13</definedName>
    <definedName name="parm_MetodoRateio">'PACONT CUMULATIVO'!$E$13</definedName>
    <definedName name="parm_Regime" localSheetId="1">'PACONT NÃO CUMULATIVO'!$F$12</definedName>
    <definedName name="parm_Regime" localSheetId="2">'[2]PACONT CUMULATIVO'!$F$12</definedName>
    <definedName name="parm_Regime">'PACONT CUMULATIVO'!$F$12</definedName>
    <definedName name="parm_Tributacao" localSheetId="1">'PACONT NÃO CUMULATIVO'!$C$12</definedName>
    <definedName name="parm_Tributacao">'PACONT CUMULATIVO'!$C$12</definedName>
    <definedName name="Z_0A85917C_B81F_4A50_85F2_1DA91FF13808_.wvu.FilterData" localSheetId="0" hidden="1">'PACONT CUMULATIVO'!#REF!</definedName>
    <definedName name="Z_0A85917C_B81F_4A50_85F2_1DA91FF13808_.wvu.FilterData" localSheetId="1" hidden="1">'PACONT NÃO CUMULATIVO'!#REF!</definedName>
    <definedName name="Z_0A85917C_B81F_4A50_85F2_1DA91FF13808_.wvu.PrintArea" localSheetId="0" hidden="1">'PACONT CUMULATIVO'!$B$8:$J$101</definedName>
    <definedName name="Z_0A85917C_B81F_4A50_85F2_1DA91FF13808_.wvu.PrintArea" localSheetId="1" hidden="1">'PACONT NÃO CUMULATIVO'!$B$8:$J$101</definedName>
    <definedName name="Z_0A85917C_B81F_4A50_85F2_1DA91FF13808_.wvu.Rows" localSheetId="0" hidden="1">'PACONT CUMULATIVO'!#REF!,'PACONT CUMULATIVO'!#REF!,'PACONT CUMULATIVO'!$44:$49</definedName>
    <definedName name="Z_0A85917C_B81F_4A50_85F2_1DA91FF13808_.wvu.Rows" localSheetId="1" hidden="1">'PACONT NÃO CUMULATIVO'!#REF!,'PACONT NÃO CUMULATIVO'!#REF!,'PACONT NÃO CUMULATIVO'!$44:$49</definedName>
    <definedName name="Z_587BCC90_4153_4AA3_A939_6C8CAA293879_.wvu.FilterData" localSheetId="0" hidden="1">'PACONT CUMULATIVO'!#REF!</definedName>
    <definedName name="Z_587BCC90_4153_4AA3_A939_6C8CAA293879_.wvu.FilterData" localSheetId="1" hidden="1">'PACONT NÃO CUMULATIVO'!#REF!</definedName>
    <definedName name="Z_587BCC90_4153_4AA3_A939_6C8CAA293879_.wvu.PrintArea" localSheetId="0" hidden="1">'PACONT CUMULATIVO'!$B$8:$J$101</definedName>
    <definedName name="Z_587BCC90_4153_4AA3_A939_6C8CAA293879_.wvu.PrintArea" localSheetId="1" hidden="1">'PACONT NÃO CUMULATIVO'!$B$8:$J$101</definedName>
    <definedName name="Z_587BCC90_4153_4AA3_A939_6C8CAA293879_.wvu.Rows" localSheetId="0" hidden="1">'PACONT CUMULATIVO'!#REF!,'PACONT CUMULATIVO'!#REF!,'PACONT CUMULATIVO'!$44:$49</definedName>
    <definedName name="Z_587BCC90_4153_4AA3_A939_6C8CAA293879_.wvu.Rows" localSheetId="1" hidden="1">'PACONT NÃO CUMULATIVO'!#REF!,'PACONT NÃO CUMULATIVO'!#REF!,'PACONT NÃO CUMULATIVO'!$44:$49</definedName>
    <definedName name="Z_B9EF9440_533D_41D4_98D1_DF457B48062A_.wvu.FilterData" localSheetId="0" hidden="1">'PACONT CUMULATIVO'!#REF!</definedName>
    <definedName name="Z_B9EF9440_533D_41D4_98D1_DF457B48062A_.wvu.FilterData" localSheetId="1" hidden="1">'PACONT NÃO CUMULATIVO'!#REF!</definedName>
    <definedName name="Z_B9EF9440_533D_41D4_98D1_DF457B48062A_.wvu.PrintArea" localSheetId="0" hidden="1">'PACONT CUMULATIVO'!$B$8:$J$101</definedName>
    <definedName name="Z_B9EF9440_533D_41D4_98D1_DF457B48062A_.wvu.PrintArea" localSheetId="1" hidden="1">'PACONT NÃO CUMULATIVO'!$B$8:$J$101</definedName>
    <definedName name="Z_B9EF9440_533D_41D4_98D1_DF457B48062A_.wvu.Rows" localSheetId="0" hidden="1">'PACONT CUMULATIVO'!#REF!,'PACONT CUMULATIVO'!#REF!,'PACONT CUMULATIVO'!$44:$49</definedName>
    <definedName name="Z_B9EF9440_533D_41D4_98D1_DF457B48062A_.wvu.Rows" localSheetId="1" hidden="1">'PACONT NÃO CUMULATIVO'!#REF!,'PACONT NÃO CUMULATIVO'!#REF!,'PACONT NÃO CUMULATIVO'!$44:$49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<sst xmlns="http://schemas.openxmlformats.org/spreadsheetml/2006/main" count="502" uniqueCount="224">
  <si>
    <t>PACONT - PLANILHA DE APURAÇÃO DAS CONTRIBUIÇÕES</t>
  </si>
  <si>
    <t>Código                                                                          RQ_CONT_002</t>
  </si>
  <si>
    <t>Revisão
05</t>
  </si>
  <si>
    <t>Folha
1 de 1</t>
  </si>
  <si>
    <r>
      <rPr>
        <b/>
        <sz val="11"/>
        <rFont val="DIN Next LT Pro"/>
        <family val="2"/>
      </rPr>
      <t xml:space="preserve">Origem: 
</t>
    </r>
    <r>
      <rPr>
        <sz val="11"/>
        <rFont val="DIN Next LT Pro"/>
        <family val="2"/>
      </rPr>
      <t>Contábil Raiz Educação</t>
    </r>
  </si>
  <si>
    <r>
      <t xml:space="preserve">Elaborado por:
</t>
    </r>
    <r>
      <rPr>
        <sz val="11"/>
        <rFont val="DIN Next LT Pro"/>
        <family val="2"/>
      </rPr>
      <t>Luanda Soares</t>
    </r>
  </si>
  <si>
    <r>
      <rPr>
        <b/>
        <sz val="11"/>
        <rFont val="DIN Next LT Pro"/>
        <family val="2"/>
      </rPr>
      <t>Revisado por:</t>
    </r>
    <r>
      <rPr>
        <sz val="11"/>
        <rFont val="DIN Next LT Pro"/>
        <family val="2"/>
      </rPr>
      <t xml:space="preserve"> 
Jorge Carolino</t>
    </r>
  </si>
  <si>
    <r>
      <rPr>
        <b/>
        <sz val="11"/>
        <rFont val="DIN Next LT Pro"/>
        <family val="2"/>
      </rPr>
      <t>Aprovado por:</t>
    </r>
    <r>
      <rPr>
        <sz val="11"/>
        <rFont val="DIN Next LT Pro"/>
        <family val="2"/>
      </rPr>
      <t xml:space="preserve"> </t>
    </r>
  </si>
  <si>
    <t>Data:</t>
  </si>
  <si>
    <t>CLIENTE:</t>
  </si>
  <si>
    <t>QI QUALIDADE INTEGRAL DE ENSINO LTDA</t>
  </si>
  <si>
    <t xml:space="preserve">CNPJ: </t>
  </si>
  <si>
    <t xml:space="preserve">TRIBUTAÇÃO: </t>
  </si>
  <si>
    <t>LUCRO REAL</t>
  </si>
  <si>
    <t xml:space="preserve">REGIME: </t>
  </si>
  <si>
    <t>CUMULATIVO</t>
  </si>
  <si>
    <t>ENQUADRADA LEI 12.546 (S/N):</t>
  </si>
  <si>
    <t>NÃO</t>
  </si>
  <si>
    <t>Exclui Receita de Exportação?</t>
  </si>
  <si>
    <t>Selecionar</t>
  </si>
  <si>
    <t>ALIQ. INSS:</t>
  </si>
  <si>
    <t xml:space="preserve">Método de Determinação dos Créditos: </t>
  </si>
  <si>
    <t>Vinculados à receita auferida no mercado interno e externo com base na proporção da receita bruta auferida</t>
  </si>
  <si>
    <t>COMPETÊNCIA:</t>
  </si>
  <si>
    <t>IMPRESSO EM:</t>
  </si>
  <si>
    <t>A) IMPOSTO SOBRE A BASE DE CÁLCULO</t>
  </si>
  <si>
    <t xml:space="preserve"> RECEITAS</t>
  </si>
  <si>
    <t>VINCULAÇÃO DA RECEITA (para cred. PIS e COFINS)</t>
  </si>
  <si>
    <t>CÁLCULO DO PIS E COFINS</t>
  </si>
  <si>
    <t>CÁLCULO DO INSS (Lei 12.546)</t>
  </si>
  <si>
    <t>DESCRIÇÃO DAS  RECEITAS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</si>
  <si>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</si>
  <si>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</si>
  <si>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</si>
  <si>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</si>
  <si>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</si>
  <si>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</si>
  <si>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</si>
  <si>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</si>
  <si>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</si>
  <si>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</si>
  <si>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</si>
  <si>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Receitas Enquadradas na Lei 12.546</t>
  </si>
  <si>
    <t>Receitas Não Enquadradas na Lei 12.546</t>
  </si>
  <si>
    <t>Receita                       Total</t>
  </si>
  <si>
    <t>Trib. Merc.   Interno</t>
  </si>
  <si>
    <t>Não Trib. Merc. Interno</t>
  </si>
  <si>
    <t>Merc. Externo</t>
  </si>
  <si>
    <t>Base de Cálculo PIS e COFINS</t>
  </si>
  <si>
    <t xml:space="preserve">Valor                            PIS  </t>
  </si>
  <si>
    <t xml:space="preserve">Valor                  COFINS </t>
  </si>
  <si>
    <t>Base de Cálculo INSS</t>
  </si>
  <si>
    <t xml:space="preserve">Valor                      INSS             </t>
  </si>
  <si>
    <t>Percentuais de Rateio ==========&gt;</t>
  </si>
  <si>
    <t>1 - Receita de Serviços e/ou Vendas</t>
  </si>
  <si>
    <t>1.1 Receitas  de Vendas e Serviços</t>
  </si>
  <si>
    <t>Cumulativo</t>
  </si>
  <si>
    <t>1.2 (-) Receita diferida n/mês</t>
  </si>
  <si>
    <t>1.2 (-) Receita Anuidade/ 1° Cota</t>
  </si>
  <si>
    <t>1.3 (+) Receita diferida mês anterior</t>
  </si>
  <si>
    <t>1.4 Outras Receitas (especificar)</t>
  </si>
  <si>
    <r>
      <t xml:space="preserve">1.4 Outras Receitas </t>
    </r>
    <r>
      <rPr>
        <i/>
        <sz val="10"/>
        <color indexed="10"/>
        <rFont val="Arial"/>
        <family val="2"/>
      </rPr>
      <t>(especificar)</t>
    </r>
  </si>
  <si>
    <t>1.5 Outras Deduções (especificar)</t>
  </si>
  <si>
    <r>
      <t xml:space="preserve">1.5 Outras Deduções </t>
    </r>
    <r>
      <rPr>
        <i/>
        <sz val="10"/>
        <color indexed="10"/>
        <rFont val="Arial"/>
        <family val="2"/>
      </rPr>
      <t>(especificar)</t>
    </r>
  </si>
  <si>
    <t>2 - (-) Deduções da Receita</t>
  </si>
  <si>
    <t>2.1 Cancelamento de NF's</t>
  </si>
  <si>
    <t>2.2 IPI</t>
  </si>
  <si>
    <t xml:space="preserve"> </t>
  </si>
  <si>
    <t>2.3 ICMS Substituição Tributária</t>
  </si>
  <si>
    <t>2.4 Descontos Incondicionais</t>
  </si>
  <si>
    <t>2.5 Outras Deduções (especificar)</t>
  </si>
  <si>
    <t>2.6 Devolução Vendas (CPRB)</t>
  </si>
  <si>
    <t>3 - Receitas Isentas ou Não Tributáveis</t>
  </si>
  <si>
    <t>3.1 Ganho na Equivalência Patrimonial</t>
  </si>
  <si>
    <t>3.2 Recuperação de Despesas</t>
  </si>
  <si>
    <t>3.3 Outras (especificar)</t>
  </si>
  <si>
    <r>
      <t xml:space="preserve">3.3 Outras </t>
    </r>
    <r>
      <rPr>
        <i/>
        <sz val="10"/>
        <color indexed="10"/>
        <rFont val="Arial"/>
        <family val="2"/>
      </rPr>
      <t>(especificar)</t>
    </r>
  </si>
  <si>
    <t>4 - Demais Receita Operacionais</t>
  </si>
  <si>
    <t>4.1 - Aluguel</t>
  </si>
  <si>
    <t>4.2 - Outras - Aluguel</t>
  </si>
  <si>
    <t>5 - TOTAL DA RECEITA LÍQUIDA</t>
  </si>
  <si>
    <t>6 - Receitas Financeiras</t>
  </si>
  <si>
    <t>6.1 - Rendimentos s/Aplicações financeiras</t>
  </si>
  <si>
    <t>6.2 - Descontos Obtidos</t>
  </si>
  <si>
    <t>6.3 - Juros Ativos</t>
  </si>
  <si>
    <t>6.4 - Variação Cambial Ativa - Não Tributada</t>
  </si>
  <si>
    <t>6.5 - Variação Cambial Ativa - Tributada</t>
  </si>
  <si>
    <t>6.6 - Rendimentos de Mútuos</t>
  </si>
  <si>
    <t>6.7 - Rendimentos s/ Impostos a Recuperar</t>
  </si>
  <si>
    <t>6.8 - Variação Monetária Ativa</t>
  </si>
  <si>
    <t>6.9 - Outras (especificar)</t>
  </si>
  <si>
    <r>
      <t xml:space="preserve">6.9 - Outras </t>
    </r>
    <r>
      <rPr>
        <i/>
        <sz val="10"/>
        <color indexed="10"/>
        <rFont val="Arial"/>
        <family val="2"/>
      </rPr>
      <t>(especificar)</t>
    </r>
  </si>
  <si>
    <t>7 . TOTAIS</t>
  </si>
  <si>
    <t>B) COMPOSIÇÃO DOS CRÉDITOS - LEI 10.833</t>
  </si>
  <si>
    <t>DESCRIÇÃO DOS  CRÉDITOS</t>
  </si>
  <si>
    <t>AQUISIÇÃO NO MERCADO INTERNO</t>
  </si>
  <si>
    <t>IMPORTAÇÃO</t>
  </si>
  <si>
    <t>Valor         Contábil</t>
  </si>
  <si>
    <t>Mercado   Interno</t>
  </si>
  <si>
    <t>Não Tributada Merc. Interno</t>
  </si>
  <si>
    <t>Mercado    Externo</t>
  </si>
  <si>
    <t xml:space="preserve">1 -   Bens para Revenda </t>
  </si>
  <si>
    <t>2 -   Bens Utilizados como Insumos</t>
  </si>
  <si>
    <t>3 -   Serviços Utilizados como Insumos</t>
  </si>
  <si>
    <t>4 -   Despesa de Energia Elétrica e Térmica</t>
  </si>
  <si>
    <t>5 -   Despesas de Aluguéis de Prédios PJ</t>
  </si>
  <si>
    <t>6 -   Despesas de Aluguéis de Máq. e Equip. PJ</t>
  </si>
  <si>
    <t>7 -   Despesa Armazenagem e Fretes na Op. Venda</t>
  </si>
  <si>
    <t>8 -   Despesa Contraprestações Arrend. Mercantil</t>
  </si>
  <si>
    <t>9 -   Sobre Bens do Ativo Imob. - Depreciação</t>
  </si>
  <si>
    <t>10 - Sobre Bens do Ativo Imob. - Aquisição</t>
  </si>
  <si>
    <t>11 - Encargos de Amort. de Edif. e Benfeitorias</t>
  </si>
  <si>
    <t>12 - Dev. de Vendas Suj. à Alíquota de 1,65%</t>
  </si>
  <si>
    <t>13 - Créditos com Carreteiros (75% do valor da despesa)</t>
  </si>
  <si>
    <t>14 - Outras Operações com Direito a Crédito</t>
  </si>
  <si>
    <t>TOTAL DOS CRÉDITOS</t>
  </si>
  <si>
    <t>C) CONTROLE DE UTILIZAÇÃO DOS CRÉDITOS</t>
  </si>
  <si>
    <t>1. CRÉDITOS SOBRE AQUISIÇÃO:</t>
  </si>
  <si>
    <t>PIS                          Merc. Interno</t>
  </si>
  <si>
    <t>PIS                              Não Trib.  Merc. Interno</t>
  </si>
  <si>
    <t>PIS                          Merc. Externo</t>
  </si>
  <si>
    <t>Total dos Créditos - PIS</t>
  </si>
  <si>
    <t>COFINS                          Merc. Interno</t>
  </si>
  <si>
    <t>COFINS              Não Trib.  Merc. Interno</t>
  </si>
  <si>
    <t>COFINS                          Merc. Externo</t>
  </si>
  <si>
    <t>Total dos Créditos - COFINS</t>
  </si>
  <si>
    <t>Saldo dos Créditos de Meses Anteriores</t>
  </si>
  <si>
    <t xml:space="preserve">(+) Créditos Apurados no Mês </t>
  </si>
  <si>
    <t>(=)  Crédito Disponível a Compensar</t>
  </si>
  <si>
    <t>(-) Compensação de Crédito de Meses Anteriores</t>
  </si>
  <si>
    <t>(-) Compensação de Créditos do Mês</t>
  </si>
  <si>
    <t xml:space="preserve">(=) Crédito Remanescente </t>
  </si>
  <si>
    <t>2. CRÉDITO DE IMPORTAÇÃO VINCULADO A RECEITA:</t>
  </si>
  <si>
    <t>PIS                          Total dos Créditos</t>
  </si>
  <si>
    <t>(+) Créditos Apurados no Mês  -  Aquisição de Serviços</t>
  </si>
  <si>
    <t>(+) Créditos Apurados no Mês  -  Aquisição de Bens / Mercadorias</t>
  </si>
  <si>
    <t xml:space="preserve">(=)  Crédito Disponível </t>
  </si>
  <si>
    <t>D) IMPOSTO A PAGAR (RECOLHER)</t>
  </si>
  <si>
    <t xml:space="preserve"> DISCRIMINAÇÃO DOS DÉBITOS APURADOS</t>
  </si>
  <si>
    <t xml:space="preserve">PIS  </t>
  </si>
  <si>
    <t xml:space="preserve">COFINS </t>
  </si>
  <si>
    <t>INSS</t>
  </si>
  <si>
    <t>1 - Total do Imposto Devido</t>
  </si>
  <si>
    <t>2 - (-) Créditos Descontados n/mês</t>
  </si>
  <si>
    <t>3 - (-) Imposto Retido na Fonte por Órgãos Públicos (Lei 9.430/1996, art. 64)</t>
  </si>
  <si>
    <t>4 - (-) Imposto Retido na Fonte pelas Demais Entidades da Adminstração Pública (Lei 10.833/2003, art. 34)</t>
  </si>
  <si>
    <t>5 - (-) Imposto Retido na Fonte por Pessoas Jurídicas de Direito Privado (Lei 10.833/2003, art. 33)</t>
  </si>
  <si>
    <t>6 - (-) Outras Deduções (especificar)</t>
  </si>
  <si>
    <t>7 - A RECOLHER</t>
  </si>
  <si>
    <t>DÉBITOS DECLARADOS</t>
  </si>
  <si>
    <t>DCTF</t>
  </si>
  <si>
    <t>EFD</t>
  </si>
  <si>
    <t>DARF(s)</t>
  </si>
  <si>
    <t>DCOMP(s)</t>
  </si>
  <si>
    <t>PIS  -----------------------------</t>
  </si>
  <si>
    <t>COFINS ------------------------</t>
  </si>
  <si>
    <t>CPRB ---------------------------</t>
  </si>
  <si>
    <t>NÃO CUMULATIVO</t>
  </si>
  <si>
    <t>Não-Cumulativo</t>
  </si>
  <si>
    <t>1.4 Outras Receitas</t>
  </si>
  <si>
    <t>4 - Despesa de Energia Elétrica e Térmica</t>
  </si>
  <si>
    <t>5 - Despesas de Aluguéis de Prédios PJ</t>
  </si>
  <si>
    <t>Mensalidades</t>
  </si>
  <si>
    <t>Totais</t>
  </si>
  <si>
    <t>Rótulos de Linha</t>
  </si>
  <si>
    <t>Pis Cumu</t>
  </si>
  <si>
    <t>Cofins Cumu</t>
  </si>
  <si>
    <t>Pis Não Cumu</t>
  </si>
  <si>
    <t>Cofins Não Cumu</t>
  </si>
  <si>
    <t>Rótulos de Coluna</t>
  </si>
  <si>
    <t>BOTAFOGO</t>
  </si>
  <si>
    <t>Aluguel</t>
  </si>
  <si>
    <t>Energia</t>
  </si>
  <si>
    <t>Total Pis Não Cumu</t>
  </si>
  <si>
    <t>Total Cofins Não Cumu</t>
  </si>
  <si>
    <t>COLÉGIO QI VALQUEIRE</t>
  </si>
  <si>
    <t>FREGUESIA(JACAREPAGUA)</t>
  </si>
  <si>
    <t>MARACANA</t>
  </si>
  <si>
    <t>JACAREPAGUA</t>
  </si>
  <si>
    <t>COLÉGIO QI RIO 2 EXPANSÃO</t>
  </si>
  <si>
    <t>(-) FREGUESIA</t>
  </si>
  <si>
    <t>Total Geral</t>
  </si>
  <si>
    <t>imposto inicial</t>
  </si>
  <si>
    <t>(-) MARACANA</t>
  </si>
  <si>
    <t>Receita financeira</t>
  </si>
  <si>
    <t>FILIAL 06</t>
  </si>
  <si>
    <t>Data Competência</t>
  </si>
  <si>
    <t>(Tudo)</t>
  </si>
  <si>
    <t>* Excluir mês da apuração</t>
  </si>
  <si>
    <t>Creditos</t>
  </si>
  <si>
    <t>Soma de Pis Cumu</t>
  </si>
  <si>
    <t>Soma de Cofins Cumu</t>
  </si>
  <si>
    <t>Soma de Pis Não Cumu</t>
  </si>
  <si>
    <t>Soma de Cofins Não Cumu</t>
  </si>
  <si>
    <t>(-) BOTAFOGO</t>
  </si>
  <si>
    <t>credito</t>
  </si>
  <si>
    <t>Check</t>
  </si>
  <si>
    <t>Outras Receitas - (Não Cumulativas)</t>
  </si>
  <si>
    <t>Alíquotas Receitas Financeiras (Pis 0,65% e Cofins 4%)</t>
  </si>
  <si>
    <t>imposto final</t>
  </si>
  <si>
    <t>Anuidades e Semestralidades - BASE BI</t>
  </si>
  <si>
    <t>Cod</t>
  </si>
  <si>
    <t>Resumo</t>
  </si>
  <si>
    <t>Valor</t>
  </si>
  <si>
    <t xml:space="preserve">Descrição </t>
  </si>
  <si>
    <t>Comp</t>
  </si>
  <si>
    <t>8109 - 02</t>
  </si>
  <si>
    <t>Pis Cumulativo</t>
  </si>
  <si>
    <t>Soma de Pis Cum</t>
  </si>
  <si>
    <t>Soma de Cofins Cum</t>
  </si>
  <si>
    <t>Soma de Pis Não Cum</t>
  </si>
  <si>
    <t>Soma de Cofins Não Cum</t>
  </si>
  <si>
    <t>2172 - 01</t>
  </si>
  <si>
    <t>Cofins Cumulativo</t>
  </si>
  <si>
    <t>6912 - 01</t>
  </si>
  <si>
    <t>Pis Não Cumulativo</t>
  </si>
  <si>
    <t>5856 - 01</t>
  </si>
  <si>
    <t>Cofins Não Cumullativo</t>
  </si>
  <si>
    <t>(vazio)</t>
  </si>
  <si>
    <t>Créditos Pis-Cofins mês (Não Cumulativo)</t>
  </si>
  <si>
    <t>Pis Cumulativo - 08/2025</t>
  </si>
  <si>
    <t>Cofins Cumulativo - 08/2025</t>
  </si>
  <si>
    <t>Pis Não Cumulativo - 08/2025</t>
  </si>
  <si>
    <t>Cofins Não Cumullativo - 08/2025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</si>
</sst>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00\.000\.000\/0000\-00"/>
    <numFmt numFmtId="166" formatCode="#,##0.00%;[Red]\-#,##0.00%"/>
    <numFmt numFmtId="167" formatCode="mm/yyyy"/>
    <numFmt numFmtId="168" formatCode="_(* #,##0.00_);[Red]_(* \(#,##0.00\);_(* &quot;-&quot;??_);_(@_)"/>
  </numFmts>
  <fonts count="30"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sz val="12"/>
      <name val="DIN Next LT Pro"/>
      <family val="2"/>
    </font>
    <font>
      <sz val="10"/>
      <name val="DIN Next LT Pro"/>
      <family val="2"/>
    </font>
    <font>
      <sz val="11"/>
      <name val="DIN Next LT Pro"/>
      <family val="2"/>
    </font>
    <font>
      <b/>
      <sz val="11"/>
      <name val="DIN Next LT Pro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i/>
      <sz val="10"/>
      <color theme="3"/>
      <name val="Arial"/>
      <family val="2"/>
    </font>
    <font>
      <b/>
      <sz val="11"/>
      <color rgb="FFFF0000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i/>
      <sz val="10"/>
      <color indexed="10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i/>
      <sz val="11"/>
      <color rgb="FFFF0000"/>
      <name val="Arial"/>
      <family val="2"/>
    </font>
    <font>
      <i/>
      <sz val="11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i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1">
    <xf numFmtId="0" fontId="0" fillId="0" borderId="0" xfId="0"/>
    <xf numFmtId="0" fontId="2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164" fontId="0" fillId="0" borderId="0" xfId="0" applyNumberFormat="1" applyAlignment="1" applyProtection="1">
      <alignment vertical="center"/>
      <protection hidden="1"/>
    </xf>
    <xf numFmtId="9" fontId="3" fillId="0" borderId="0" xfId="0" applyNumberFormat="1" applyFont="1" applyAlignment="1" applyProtection="1">
      <alignment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4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6" fillId="0" borderId="6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2" xfId="0" applyFont="1" applyBorder="1" applyAlignment="1" applyProtection="1">
      <alignment horizontal="left" vertical="center"/>
      <protection hidden="1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/>
      <protection hidden="1"/>
    </xf>
    <xf numFmtId="0" fontId="6" fillId="0" borderId="9" xfId="0" applyFont="1" applyBorder="1" applyAlignment="1" applyProtection="1">
      <alignment horizontal="left" vertical="center"/>
      <protection hidden="1"/>
    </xf>
    <xf numFmtId="49" fontId="7" fillId="0" borderId="8" xfId="0" applyNumberFormat="1" applyFont="1" applyBorder="1" applyAlignment="1">
      <alignment vertical="center"/>
    </xf>
    <xf numFmtId="14" fontId="6" fillId="0" borderId="10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9" fillId="0" borderId="7" xfId="0" applyFont="1" applyBorder="1" applyAlignment="1" applyProtection="1">
      <alignment horizontal="left" vertical="center" indent="1"/>
      <protection locked="0"/>
    </xf>
    <xf numFmtId="164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 applyProtection="1">
      <alignment horizontal="center" vertical="center"/>
      <protection locked="0"/>
    </xf>
    <xf numFmtId="165" fontId="9" fillId="0" borderId="12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9" fillId="0" borderId="11" xfId="0" applyFont="1" applyBorder="1" applyAlignment="1">
      <alignment vertical="center"/>
    </xf>
    <xf numFmtId="0" fontId="9" fillId="0" borderId="0" xfId="0" applyFont="1" applyAlignment="1" applyProtection="1">
      <alignment horizontal="left" vertical="center" indent="1"/>
      <protection locked="0"/>
    </xf>
    <xf numFmtId="0" fontId="9" fillId="0" borderId="0" xfId="0" applyFont="1" applyAlignment="1">
      <alignment horizontal="right" vertical="center"/>
    </xf>
    <xf numFmtId="0" fontId="9" fillId="0" borderId="0" xfId="0" applyFont="1" applyAlignment="1" applyProtection="1">
      <alignment vertical="center"/>
      <protection locked="0"/>
    </xf>
    <xf numFmtId="49" fontId="9" fillId="0" borderId="0" xfId="0" applyNumberFormat="1" applyFont="1" applyAlignment="1">
      <alignment horizontal="right" vertical="center"/>
    </xf>
    <xf numFmtId="0" fontId="9" fillId="0" borderId="0" xfId="0" applyFont="1" applyAlignment="1" applyProtection="1">
      <alignment horizontal="left" vertical="center" indent="1"/>
      <protection locked="0"/>
    </xf>
    <xf numFmtId="0" fontId="11" fillId="0" borderId="0" xfId="0" applyFont="1" applyAlignment="1" applyProtection="1">
      <alignment vertical="center"/>
      <protection locked="0"/>
    </xf>
    <xf numFmtId="166" fontId="11" fillId="0" borderId="12" xfId="0" applyNumberFormat="1" applyFont="1" applyBorder="1" applyAlignment="1" applyProtection="1">
      <alignment horizontal="left" vertical="center" indent="1"/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164" fontId="8" fillId="0" borderId="14" xfId="0" applyNumberFormat="1" applyFont="1" applyBorder="1" applyAlignment="1">
      <alignment vertical="center"/>
    </xf>
    <xf numFmtId="164" fontId="9" fillId="0" borderId="14" xfId="0" applyNumberFormat="1" applyFont="1" applyBorder="1" applyAlignment="1" applyProtection="1">
      <alignment horizontal="left" vertical="center"/>
      <protection locked="0"/>
    </xf>
    <xf numFmtId="0" fontId="9" fillId="0" borderId="14" xfId="0" applyFont="1" applyBorder="1" applyAlignment="1">
      <alignment horizontal="right" vertical="center"/>
    </xf>
    <xf numFmtId="167" fontId="9" fillId="0" borderId="14" xfId="0" applyNumberFormat="1" applyFont="1" applyBorder="1" applyAlignment="1" applyProtection="1">
      <alignment horizontal="center" vertical="center"/>
      <protection locked="0"/>
    </xf>
    <xf numFmtId="14" fontId="9" fillId="0" borderId="15" xfId="0" applyNumberFormat="1" applyFont="1" applyBorder="1" applyAlignment="1">
      <alignment horizontal="left" vertical="center" indent="1"/>
    </xf>
    <xf numFmtId="0" fontId="3" fillId="0" borderId="0" xfId="0" quotePrefix="1" applyFont="1" applyAlignment="1" applyProtection="1">
      <alignment horizontal="left" vertical="center"/>
      <protection locked="0"/>
    </xf>
    <xf numFmtId="0" fontId="3" fillId="0" borderId="0" xfId="0" applyFont="1" applyAlignment="1">
      <alignment vertical="center"/>
    </xf>
    <xf numFmtId="0" fontId="12" fillId="2" borderId="16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3" fillId="0" borderId="0" xfId="0" applyFont="1" applyAlignment="1" applyProtection="1">
      <alignment vertical="center"/>
      <protection locked="0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8" fillId="4" borderId="24" xfId="0" applyNumberFormat="1" applyFont="1" applyFill="1" applyBorder="1" applyAlignment="1">
      <alignment horizontal="center" vertical="center" wrapText="1"/>
    </xf>
    <xf numFmtId="164" fontId="8" fillId="4" borderId="25" xfId="0" applyNumberFormat="1" applyFont="1" applyFill="1" applyBorder="1" applyAlignment="1">
      <alignment horizontal="center" vertical="center" wrapText="1"/>
    </xf>
    <xf numFmtId="164" fontId="8" fillId="4" borderId="26" xfId="0" applyNumberFormat="1" applyFont="1" applyFill="1" applyBorder="1" applyAlignment="1">
      <alignment horizontal="center" vertical="center" wrapText="1"/>
    </xf>
    <xf numFmtId="164" fontId="8" fillId="4" borderId="27" xfId="0" applyNumberFormat="1" applyFont="1" applyFill="1" applyBorder="1" applyAlignment="1">
      <alignment horizontal="center" vertical="center" wrapText="1"/>
    </xf>
    <xf numFmtId="164" fontId="8" fillId="4" borderId="28" xfId="0" applyNumberFormat="1" applyFont="1" applyFill="1" applyBorder="1" applyAlignment="1">
      <alignment horizontal="center" vertical="center" wrapText="1"/>
    </xf>
    <xf numFmtId="164" fontId="8" fillId="4" borderId="29" xfId="0" applyNumberFormat="1" applyFont="1" applyFill="1" applyBorder="1" applyAlignment="1">
      <alignment horizontal="center" vertical="center" wrapText="1"/>
    </xf>
    <xf numFmtId="164" fontId="8" fillId="4" borderId="30" xfId="0" applyNumberFormat="1" applyFont="1" applyFill="1" applyBorder="1" applyAlignment="1">
      <alignment horizontal="center" vertical="center" wrapText="1"/>
    </xf>
    <xf numFmtId="164" fontId="8" fillId="4" borderId="31" xfId="0" applyNumberFormat="1" applyFont="1" applyFill="1" applyBorder="1" applyAlignment="1">
      <alignment horizontal="center" vertical="center" wrapText="1"/>
    </xf>
    <xf numFmtId="43" fontId="3" fillId="0" borderId="0" xfId="0" applyNumberFormat="1" applyFont="1" applyAlignment="1" applyProtection="1">
      <alignment vertical="center"/>
      <protection locked="0"/>
    </xf>
    <xf numFmtId="0" fontId="9" fillId="4" borderId="1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164" fontId="8" fillId="4" borderId="32" xfId="0" applyNumberFormat="1" applyFont="1" applyFill="1" applyBorder="1" applyAlignment="1">
      <alignment horizontal="center" vertical="center" wrapText="1"/>
    </xf>
    <xf numFmtId="164" fontId="8" fillId="4" borderId="33" xfId="0" applyNumberFormat="1" applyFont="1" applyFill="1" applyBorder="1" applyAlignment="1">
      <alignment horizontal="center" vertical="center" wrapText="1"/>
    </xf>
    <xf numFmtId="164" fontId="8" fillId="4" borderId="34" xfId="0" applyNumberFormat="1" applyFont="1" applyFill="1" applyBorder="1" applyAlignment="1">
      <alignment horizontal="center" vertical="center" wrapText="1"/>
    </xf>
    <xf numFmtId="164" fontId="8" fillId="4" borderId="35" xfId="0" applyNumberFormat="1" applyFont="1" applyFill="1" applyBorder="1" applyAlignment="1">
      <alignment horizontal="center" vertical="center" wrapText="1"/>
    </xf>
    <xf numFmtId="164" fontId="8" fillId="4" borderId="36" xfId="0" applyNumberFormat="1" applyFont="1" applyFill="1" applyBorder="1" applyAlignment="1">
      <alignment horizontal="center" vertical="center" wrapText="1"/>
    </xf>
    <xf numFmtId="164" fontId="8" fillId="4" borderId="37" xfId="0" applyNumberFormat="1" applyFont="1" applyFill="1" applyBorder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164" fontId="8" fillId="4" borderId="38" xfId="0" applyNumberFormat="1" applyFont="1" applyFill="1" applyBorder="1" applyAlignment="1">
      <alignment horizontal="center" vertical="center" wrapText="1"/>
    </xf>
    <xf numFmtId="164" fontId="8" fillId="4" borderId="39" xfId="0" applyNumberFormat="1" applyFont="1" applyFill="1" applyBorder="1" applyAlignment="1">
      <alignment horizontal="center" vertical="center" wrapText="1"/>
    </xf>
    <xf numFmtId="0" fontId="13" fillId="4" borderId="40" xfId="0" applyFont="1" applyFill="1" applyBorder="1" applyAlignment="1">
      <alignment horizontal="right" vertical="center" indent="1"/>
    </xf>
    <xf numFmtId="0" fontId="13" fillId="4" borderId="41" xfId="0" applyFont="1" applyFill="1" applyBorder="1" applyAlignment="1">
      <alignment horizontal="right" vertical="center" indent="1"/>
    </xf>
    <xf numFmtId="0" fontId="13" fillId="4" borderId="42" xfId="0" applyFont="1" applyFill="1" applyBorder="1" applyAlignment="1">
      <alignment horizontal="right" vertical="center" indent="1"/>
    </xf>
    <xf numFmtId="10" fontId="14" fillId="4" borderId="43" xfId="0" applyNumberFormat="1" applyFont="1" applyFill="1" applyBorder="1" applyAlignment="1" applyProtection="1">
      <alignment horizontal="center" vertical="center" wrapText="1"/>
      <protection hidden="1"/>
    </xf>
    <xf numFmtId="10" fontId="14" fillId="4" borderId="44" xfId="0" applyNumberFormat="1" applyFont="1" applyFill="1" applyBorder="1" applyAlignment="1" applyProtection="1">
      <alignment horizontal="center" vertical="center" wrapText="1"/>
      <protection hidden="1"/>
    </xf>
    <xf numFmtId="10" fontId="14" fillId="4" borderId="45" xfId="0" applyNumberFormat="1" applyFont="1" applyFill="1" applyBorder="1" applyAlignment="1" applyProtection="1">
      <alignment horizontal="center" vertical="center" wrapText="1"/>
      <protection hidden="1"/>
    </xf>
    <xf numFmtId="10" fontId="14" fillId="4" borderId="46" xfId="2" applyNumberFormat="1" applyFont="1" applyFill="1" applyBorder="1" applyAlignment="1" applyProtection="1">
      <alignment horizontal="center" vertical="center"/>
      <protection hidden="1"/>
    </xf>
    <xf numFmtId="10" fontId="14" fillId="4" borderId="44" xfId="2" applyNumberFormat="1" applyFont="1" applyFill="1" applyBorder="1" applyAlignment="1" applyProtection="1">
      <alignment horizontal="center" vertical="center"/>
      <protection hidden="1"/>
    </xf>
    <xf numFmtId="10" fontId="14" fillId="4" borderId="47" xfId="2" applyNumberFormat="1" applyFont="1" applyFill="1" applyBorder="1" applyAlignment="1" applyProtection="1">
      <alignment horizontal="center" vertical="center"/>
      <protection hidden="1"/>
    </xf>
    <xf numFmtId="164" fontId="8" fillId="4" borderId="48" xfId="0" applyNumberFormat="1" applyFont="1" applyFill="1" applyBorder="1" applyAlignment="1">
      <alignment horizontal="center" vertical="center" wrapText="1"/>
    </xf>
    <xf numFmtId="10" fontId="15" fillId="4" borderId="44" xfId="2" applyNumberFormat="1" applyFont="1" applyFill="1" applyBorder="1" applyAlignment="1" applyProtection="1">
      <alignment horizontal="center" vertical="center"/>
    </xf>
    <xf numFmtId="10" fontId="15" fillId="4" borderId="45" xfId="2" applyNumberFormat="1" applyFont="1" applyFill="1" applyBorder="1" applyAlignment="1" applyProtection="1">
      <alignment horizontal="center" vertical="center"/>
    </xf>
    <xf numFmtId="164" fontId="8" fillId="4" borderId="46" xfId="0" applyNumberFormat="1" applyFont="1" applyFill="1" applyBorder="1" applyAlignment="1">
      <alignment horizontal="center" vertical="center" wrapText="1"/>
    </xf>
    <xf numFmtId="10" fontId="15" fillId="4" borderId="49" xfId="2" applyNumberFormat="1" applyFont="1" applyFill="1" applyBorder="1" applyAlignment="1" applyProtection="1">
      <alignment horizontal="center" vertical="center"/>
    </xf>
    <xf numFmtId="0" fontId="16" fillId="0" borderId="0" xfId="0" applyFont="1" applyAlignment="1" applyProtection="1">
      <alignment vertical="center"/>
      <protection locked="0"/>
    </xf>
    <xf numFmtId="0" fontId="8" fillId="4" borderId="16" xfId="0" applyFont="1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/>
    </xf>
    <xf numFmtId="0" fontId="8" fillId="4" borderId="18" xfId="0" applyFont="1" applyFill="1" applyBorder="1" applyAlignment="1">
      <alignment horizontal="left" vertical="center"/>
    </xf>
    <xf numFmtId="168" fontId="8" fillId="4" borderId="50" xfId="1" applyNumberFormat="1" applyFont="1" applyFill="1" applyBorder="1" applyAlignment="1" applyProtection="1">
      <alignment vertical="center"/>
      <protection hidden="1"/>
    </xf>
    <xf numFmtId="168" fontId="8" fillId="4" borderId="51" xfId="1" applyNumberFormat="1" applyFont="1" applyFill="1" applyBorder="1" applyAlignment="1" applyProtection="1">
      <alignment vertical="center"/>
      <protection hidden="1"/>
    </xf>
    <xf numFmtId="168" fontId="8" fillId="4" borderId="52" xfId="1" applyNumberFormat="1" applyFont="1" applyFill="1" applyBorder="1" applyAlignment="1" applyProtection="1">
      <alignment vertical="center"/>
      <protection hidden="1"/>
    </xf>
    <xf numFmtId="168" fontId="8" fillId="4" borderId="53" xfId="1" applyNumberFormat="1" applyFont="1" applyFill="1" applyBorder="1" applyAlignment="1" applyProtection="1">
      <alignment vertical="center"/>
      <protection hidden="1"/>
    </xf>
    <xf numFmtId="168" fontId="8" fillId="4" borderId="54" xfId="1" applyNumberFormat="1" applyFont="1" applyFill="1" applyBorder="1" applyAlignment="1" applyProtection="1">
      <alignment vertical="center"/>
      <protection hidden="1"/>
    </xf>
    <xf numFmtId="168" fontId="8" fillId="4" borderId="19" xfId="1" applyNumberFormat="1" applyFont="1" applyFill="1" applyBorder="1" applyAlignment="1" applyProtection="1">
      <alignment vertical="center"/>
      <protection hidden="1"/>
    </xf>
    <xf numFmtId="168" fontId="8" fillId="4" borderId="55" xfId="1" applyNumberFormat="1" applyFont="1" applyFill="1" applyBorder="1" applyAlignment="1" applyProtection="1">
      <alignment vertical="center"/>
      <protection hidden="1"/>
    </xf>
    <xf numFmtId="0" fontId="17" fillId="0" borderId="56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168" fontId="18" fillId="0" borderId="9" xfId="1" applyNumberFormat="1" applyFont="1" applyFill="1" applyBorder="1" applyAlignment="1" applyProtection="1">
      <alignment vertical="center"/>
      <protection locked="0"/>
    </xf>
    <xf numFmtId="168" fontId="18" fillId="0" borderId="58" xfId="1" applyNumberFormat="1" applyFont="1" applyFill="1" applyBorder="1" applyAlignment="1" applyProtection="1">
      <alignment vertical="center"/>
      <protection locked="0"/>
    </xf>
    <xf numFmtId="168" fontId="18" fillId="0" borderId="28" xfId="1" applyNumberFormat="1" applyFont="1" applyFill="1" applyBorder="1" applyAlignment="1" applyProtection="1">
      <alignment vertical="center"/>
    </xf>
    <xf numFmtId="168" fontId="19" fillId="0" borderId="59" xfId="1" applyNumberFormat="1" applyFont="1" applyFill="1" applyBorder="1" applyAlignment="1" applyProtection="1">
      <alignment vertical="center"/>
      <protection hidden="1"/>
    </xf>
    <xf numFmtId="168" fontId="18" fillId="0" borderId="58" xfId="1" applyNumberFormat="1" applyFont="1" applyFill="1" applyBorder="1" applyAlignment="1" applyProtection="1">
      <alignment vertical="center"/>
      <protection hidden="1"/>
    </xf>
    <xf numFmtId="168" fontId="19" fillId="0" borderId="9" xfId="1" applyNumberFormat="1" applyFont="1" applyFill="1" applyBorder="1" applyAlignment="1" applyProtection="1">
      <alignment vertical="center"/>
      <protection hidden="1"/>
    </xf>
    <xf numFmtId="168" fontId="18" fillId="0" borderId="60" xfId="1" applyNumberFormat="1" applyFont="1" applyFill="1" applyBorder="1" applyAlignment="1" applyProtection="1">
      <alignment vertical="center"/>
      <protection hidden="1"/>
    </xf>
    <xf numFmtId="0" fontId="20" fillId="0" borderId="0" xfId="0" applyFont="1" applyAlignment="1">
      <alignment horizontal="left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68" fontId="18" fillId="0" borderId="1" xfId="1" applyNumberFormat="1" applyFont="1" applyFill="1" applyBorder="1" applyAlignment="1" applyProtection="1">
      <alignment vertical="center"/>
      <protection locked="0"/>
    </xf>
    <xf numFmtId="168" fontId="18" fillId="0" borderId="8" xfId="1" applyNumberFormat="1" applyFont="1" applyFill="1" applyBorder="1" applyAlignment="1" applyProtection="1">
      <alignment vertical="center"/>
    </xf>
    <xf numFmtId="168" fontId="18" fillId="0" borderId="64" xfId="1" applyNumberFormat="1" applyFont="1" applyFill="1" applyBorder="1" applyAlignment="1" applyProtection="1">
      <alignment vertical="center"/>
      <protection locked="0"/>
    </xf>
    <xf numFmtId="168" fontId="18" fillId="0" borderId="65" xfId="1" applyNumberFormat="1" applyFont="1" applyFill="1" applyBorder="1" applyAlignment="1" applyProtection="1">
      <alignment vertical="center"/>
      <protection locked="0"/>
    </xf>
    <xf numFmtId="168" fontId="18" fillId="0" borderId="64" xfId="1" applyNumberFormat="1" applyFont="1" applyFill="1" applyBorder="1" applyAlignment="1" applyProtection="1">
      <alignment vertical="center" wrapText="1"/>
      <protection locked="0"/>
    </xf>
    <xf numFmtId="168" fontId="19" fillId="0" borderId="66" xfId="1" applyNumberFormat="1" applyFont="1" applyFill="1" applyBorder="1" applyAlignment="1" applyProtection="1">
      <alignment vertical="center"/>
      <protection hidden="1"/>
    </xf>
    <xf numFmtId="0" fontId="17" fillId="0" borderId="61" xfId="0" applyFont="1" applyBorder="1" applyAlignment="1" applyProtection="1">
      <alignment horizontal="left" vertical="center"/>
      <protection locked="0"/>
    </xf>
    <xf numFmtId="0" fontId="17" fillId="0" borderId="62" xfId="0" applyFont="1" applyBorder="1" applyAlignment="1" applyProtection="1">
      <alignment horizontal="left" vertical="center"/>
      <protection locked="0"/>
    </xf>
    <xf numFmtId="0" fontId="17" fillId="0" borderId="63" xfId="0" applyFont="1" applyBorder="1" applyAlignment="1" applyProtection="1">
      <alignment horizontal="left" vertical="center"/>
      <protection locked="0"/>
    </xf>
    <xf numFmtId="168" fontId="8" fillId="4" borderId="17" xfId="1" applyNumberFormat="1" applyFont="1" applyFill="1" applyBorder="1" applyAlignment="1" applyProtection="1">
      <alignment vertical="center"/>
      <protection hidden="1"/>
    </xf>
    <xf numFmtId="168" fontId="18" fillId="0" borderId="10" xfId="1" applyNumberFormat="1" applyFont="1" applyFill="1" applyBorder="1" applyAlignment="1" applyProtection="1">
      <alignment vertical="center"/>
      <protection locked="0"/>
    </xf>
    <xf numFmtId="168" fontId="18" fillId="0" borderId="25" xfId="1" applyNumberFormat="1" applyFont="1" applyFill="1" applyBorder="1" applyAlignment="1" applyProtection="1">
      <alignment vertical="center"/>
      <protection locked="0"/>
    </xf>
    <xf numFmtId="168" fontId="18" fillId="0" borderId="9" xfId="1" applyNumberFormat="1" applyFont="1" applyFill="1" applyBorder="1" applyAlignment="1" applyProtection="1">
      <alignment vertical="center"/>
      <protection hidden="1"/>
    </xf>
    <xf numFmtId="168" fontId="18" fillId="0" borderId="3" xfId="1" applyNumberFormat="1" applyFont="1" applyFill="1" applyBorder="1" applyAlignment="1" applyProtection="1">
      <alignment vertical="center"/>
      <protection locked="0"/>
    </xf>
    <xf numFmtId="168" fontId="18" fillId="0" borderId="66" xfId="1" applyNumberFormat="1" applyFont="1" applyFill="1" applyBorder="1" applyAlignment="1" applyProtection="1">
      <alignment vertical="center"/>
      <protection locked="0"/>
    </xf>
    <xf numFmtId="168" fontId="18" fillId="0" borderId="67" xfId="1" applyNumberFormat="1" applyFont="1" applyFill="1" applyBorder="1" applyAlignment="1" applyProtection="1">
      <alignment vertical="center"/>
      <protection locked="0"/>
    </xf>
    <xf numFmtId="168" fontId="22" fillId="0" borderId="1" xfId="1" applyNumberFormat="1" applyFont="1" applyFill="1" applyBorder="1" applyAlignment="1" applyProtection="1">
      <alignment vertical="center"/>
      <protection locked="0"/>
    </xf>
    <xf numFmtId="0" fontId="17" fillId="0" borderId="61" xfId="0" applyFont="1" applyBorder="1" applyAlignment="1">
      <alignment vertical="center"/>
    </xf>
    <xf numFmtId="0" fontId="17" fillId="0" borderId="62" xfId="0" applyFont="1" applyBorder="1" applyAlignment="1">
      <alignment vertical="center"/>
    </xf>
    <xf numFmtId="0" fontId="17" fillId="0" borderId="63" xfId="0" applyFont="1" applyBorder="1" applyAlignment="1">
      <alignment vertical="center"/>
    </xf>
    <xf numFmtId="0" fontId="17" fillId="0" borderId="68" xfId="0" applyFont="1" applyBorder="1" applyAlignment="1" applyProtection="1">
      <alignment horizontal="left" vertical="center"/>
      <protection locked="0"/>
    </xf>
    <xf numFmtId="0" fontId="17" fillId="0" borderId="7" xfId="0" applyFont="1" applyBorder="1" applyAlignment="1" applyProtection="1">
      <alignment horizontal="left" vertical="center"/>
      <protection locked="0"/>
    </xf>
    <xf numFmtId="0" fontId="17" fillId="0" borderId="69" xfId="0" applyFont="1" applyBorder="1" applyAlignment="1" applyProtection="1">
      <alignment horizontal="left" vertical="center"/>
      <protection locked="0"/>
    </xf>
    <xf numFmtId="168" fontId="18" fillId="0" borderId="5" xfId="1" applyNumberFormat="1" applyFont="1" applyFill="1" applyBorder="1" applyAlignment="1" applyProtection="1">
      <alignment vertical="center"/>
      <protection locked="0"/>
    </xf>
    <xf numFmtId="168" fontId="18" fillId="0" borderId="4" xfId="1" applyNumberFormat="1" applyFont="1" applyFill="1" applyBorder="1" applyAlignment="1" applyProtection="1">
      <alignment vertical="center"/>
      <protection locked="0"/>
    </xf>
    <xf numFmtId="168" fontId="18" fillId="4" borderId="38" xfId="1" applyNumberFormat="1" applyFont="1" applyFill="1" applyBorder="1" applyAlignment="1" applyProtection="1">
      <alignment vertical="center"/>
      <protection hidden="1"/>
    </xf>
    <xf numFmtId="168" fontId="18" fillId="4" borderId="4" xfId="1" applyNumberFormat="1" applyFont="1" applyFill="1" applyBorder="1" applyAlignment="1" applyProtection="1">
      <alignment vertical="center"/>
      <protection hidden="1"/>
    </xf>
    <xf numFmtId="168" fontId="18" fillId="4" borderId="70" xfId="1" applyNumberFormat="1" applyFont="1" applyFill="1" applyBorder="1" applyAlignment="1" applyProtection="1">
      <alignment vertical="center"/>
      <protection hidden="1"/>
    </xf>
    <xf numFmtId="168" fontId="19" fillId="4" borderId="59" xfId="1" applyNumberFormat="1" applyFont="1" applyFill="1" applyBorder="1" applyAlignment="1" applyProtection="1">
      <alignment vertical="center"/>
      <protection hidden="1"/>
    </xf>
    <xf numFmtId="168" fontId="18" fillId="4" borderId="58" xfId="1" applyNumberFormat="1" applyFont="1" applyFill="1" applyBorder="1" applyAlignment="1" applyProtection="1">
      <alignment vertical="center"/>
      <protection hidden="1"/>
    </xf>
    <xf numFmtId="168" fontId="8" fillId="4" borderId="20" xfId="1" applyNumberFormat="1" applyFont="1" applyFill="1" applyBorder="1" applyAlignment="1" applyProtection="1">
      <alignment vertical="center"/>
      <protection hidden="1"/>
    </xf>
    <xf numFmtId="0" fontId="17" fillId="0" borderId="56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168" fontId="18" fillId="4" borderId="3" xfId="1" applyNumberFormat="1" applyFont="1" applyFill="1" applyBorder="1" applyAlignment="1" applyProtection="1">
      <alignment horizontal="center" vertical="center"/>
    </xf>
    <xf numFmtId="168" fontId="18" fillId="4" borderId="66" xfId="1" applyNumberFormat="1" applyFont="1" applyFill="1" applyBorder="1" applyAlignment="1" applyProtection="1">
      <alignment vertical="center"/>
    </xf>
    <xf numFmtId="168" fontId="18" fillId="4" borderId="1" xfId="1" applyNumberFormat="1" applyFont="1" applyFill="1" applyBorder="1" applyAlignment="1" applyProtection="1">
      <alignment vertical="center"/>
    </xf>
    <xf numFmtId="168" fontId="18" fillId="4" borderId="67" xfId="1" applyNumberFormat="1" applyFont="1" applyFill="1" applyBorder="1" applyAlignment="1" applyProtection="1">
      <alignment vertical="center"/>
    </xf>
    <xf numFmtId="168" fontId="19" fillId="4" borderId="71" xfId="1" applyNumberFormat="1" applyFont="1" applyFill="1" applyBorder="1" applyAlignment="1" applyProtection="1">
      <alignment vertical="center"/>
    </xf>
    <xf numFmtId="168" fontId="18" fillId="4" borderId="72" xfId="1" applyNumberFormat="1" applyFont="1" applyFill="1" applyBorder="1" applyAlignment="1" applyProtection="1">
      <alignment vertical="center"/>
      <protection hidden="1"/>
    </xf>
    <xf numFmtId="168" fontId="18" fillId="4" borderId="9" xfId="1" applyNumberFormat="1" applyFont="1" applyFill="1" applyBorder="1" applyAlignment="1" applyProtection="1">
      <alignment vertical="center"/>
      <protection hidden="1"/>
    </xf>
    <xf numFmtId="168" fontId="18" fillId="4" borderId="60" xfId="1" applyNumberFormat="1" applyFont="1" applyFill="1" applyBorder="1" applyAlignment="1" applyProtection="1">
      <alignment vertical="center"/>
      <protection hidden="1"/>
    </xf>
    <xf numFmtId="0" fontId="17" fillId="0" borderId="11" xfId="0" applyFont="1" applyBorder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7" fillId="0" borderId="12" xfId="0" applyFont="1" applyBorder="1" applyAlignment="1" applyProtection="1">
      <alignment horizontal="left" vertical="center"/>
      <protection locked="0"/>
    </xf>
    <xf numFmtId="0" fontId="8" fillId="4" borderId="73" xfId="0" applyFont="1" applyFill="1" applyBorder="1" applyAlignment="1">
      <alignment vertical="center"/>
    </xf>
    <xf numFmtId="0" fontId="8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168" fontId="18" fillId="0" borderId="58" xfId="1" applyNumberFormat="1" applyFont="1" applyFill="1" applyBorder="1" applyAlignment="1" applyProtection="1">
      <alignment vertical="center" wrapText="1"/>
      <protection locked="0"/>
    </xf>
    <xf numFmtId="168" fontId="18" fillId="4" borderId="71" xfId="1" applyNumberFormat="1" applyFont="1" applyFill="1" applyBorder="1" applyAlignment="1" applyProtection="1">
      <alignment vertical="center"/>
    </xf>
    <xf numFmtId="168" fontId="18" fillId="4" borderId="26" xfId="1" applyNumberFormat="1" applyFont="1" applyFill="1" applyBorder="1" applyAlignment="1" applyProtection="1">
      <alignment vertical="center"/>
    </xf>
    <xf numFmtId="168" fontId="18" fillId="4" borderId="28" xfId="1" applyNumberFormat="1" applyFont="1" applyFill="1" applyBorder="1" applyAlignment="1" applyProtection="1">
      <alignment vertical="center"/>
    </xf>
    <xf numFmtId="168" fontId="18" fillId="0" borderId="71" xfId="1" applyNumberFormat="1" applyFont="1" applyFill="1" applyBorder="1" applyAlignment="1" applyProtection="1">
      <alignment vertical="center"/>
      <protection locked="0"/>
    </xf>
    <xf numFmtId="168" fontId="18" fillId="0" borderId="26" xfId="1" applyNumberFormat="1" applyFont="1" applyFill="1" applyBorder="1" applyAlignment="1" applyProtection="1">
      <alignment vertical="center"/>
      <protection locked="0"/>
    </xf>
    <xf numFmtId="168" fontId="18" fillId="0" borderId="28" xfId="1" applyNumberFormat="1" applyFont="1" applyFill="1" applyBorder="1" applyAlignment="1" applyProtection="1">
      <alignment vertical="center"/>
      <protection locked="0"/>
    </xf>
    <xf numFmtId="168" fontId="18" fillId="4" borderId="9" xfId="1" applyNumberFormat="1" applyFont="1" applyFill="1" applyBorder="1" applyAlignment="1" applyProtection="1">
      <alignment vertical="center"/>
    </xf>
    <xf numFmtId="168" fontId="18" fillId="4" borderId="60" xfId="1" applyNumberFormat="1" applyFont="1" applyFill="1" applyBorder="1" applyAlignment="1" applyProtection="1">
      <alignment vertical="center"/>
    </xf>
    <xf numFmtId="0" fontId="17" fillId="0" borderId="40" xfId="0" quotePrefix="1" applyFont="1" applyBorder="1" applyAlignment="1" applyProtection="1">
      <alignment horizontal="left" vertical="center"/>
      <protection locked="0"/>
    </xf>
    <xf numFmtId="0" fontId="17" fillId="0" borderId="41" xfId="0" quotePrefix="1" applyFont="1" applyBorder="1" applyAlignment="1" applyProtection="1">
      <alignment horizontal="left" vertical="center"/>
      <protection locked="0"/>
    </xf>
    <xf numFmtId="0" fontId="0" fillId="0" borderId="42" xfId="0" applyBorder="1" applyAlignment="1" applyProtection="1">
      <alignment vertical="center"/>
      <protection locked="0"/>
    </xf>
    <xf numFmtId="168" fontId="0" fillId="0" borderId="1" xfId="1" applyNumberFormat="1" applyFont="1" applyFill="1" applyBorder="1" applyAlignment="1" applyProtection="1">
      <alignment vertical="center"/>
      <protection locked="0"/>
    </xf>
    <xf numFmtId="168" fontId="18" fillId="4" borderId="74" xfId="1" applyNumberFormat="1" applyFont="1" applyFill="1" applyBorder="1" applyAlignment="1" applyProtection="1">
      <alignment vertical="center"/>
    </xf>
    <xf numFmtId="168" fontId="18" fillId="4" borderId="75" xfId="1" applyNumberFormat="1" applyFont="1" applyFill="1" applyBorder="1" applyAlignment="1" applyProtection="1">
      <alignment vertical="center"/>
    </xf>
    <xf numFmtId="168" fontId="18" fillId="0" borderId="74" xfId="1" applyNumberFormat="1" applyFont="1" applyFill="1" applyBorder="1" applyAlignment="1" applyProtection="1">
      <alignment vertical="center"/>
      <protection locked="0"/>
    </xf>
    <xf numFmtId="168" fontId="18" fillId="0" borderId="75" xfId="1" applyNumberFormat="1" applyFont="1" applyFill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168" fontId="0" fillId="0" borderId="0" xfId="0" applyNumberFormat="1" applyAlignment="1">
      <alignment vertical="center"/>
    </xf>
    <xf numFmtId="168" fontId="9" fillId="0" borderId="0" xfId="1" applyNumberFormat="1" applyFont="1" applyFill="1" applyBorder="1" applyAlignment="1" applyProtection="1">
      <alignment vertical="center"/>
    </xf>
    <xf numFmtId="168" fontId="9" fillId="0" borderId="37" xfId="1" applyNumberFormat="1" applyFont="1" applyFill="1" applyBorder="1" applyAlignment="1" applyProtection="1">
      <alignment vertical="center"/>
    </xf>
    <xf numFmtId="168" fontId="9" fillId="0" borderId="36" xfId="1" applyNumberFormat="1" applyFont="1" applyFill="1" applyBorder="1" applyAlignment="1" applyProtection="1">
      <alignment vertical="center"/>
    </xf>
    <xf numFmtId="168" fontId="8" fillId="4" borderId="16" xfId="1" applyNumberFormat="1" applyFont="1" applyFill="1" applyBorder="1" applyAlignment="1" applyProtection="1">
      <alignment vertical="center"/>
      <protection hidden="1"/>
    </xf>
    <xf numFmtId="168" fontId="8" fillId="4" borderId="51" xfId="1" applyNumberFormat="1" applyFont="1" applyFill="1" applyBorder="1" applyAlignment="1" applyProtection="1">
      <alignment horizontal="center" vertical="center"/>
      <protection hidden="1"/>
    </xf>
    <xf numFmtId="168" fontId="8" fillId="4" borderId="20" xfId="1" applyNumberFormat="1" applyFont="1" applyFill="1" applyBorder="1" applyAlignment="1" applyProtection="1">
      <alignment horizontal="center" vertical="center"/>
      <protection hidden="1"/>
    </xf>
    <xf numFmtId="168" fontId="8" fillId="4" borderId="50" xfId="1" applyNumberFormat="1" applyFont="1" applyFill="1" applyBorder="1" applyAlignment="1" applyProtection="1">
      <alignment horizontal="center" vertical="center"/>
      <protection hidden="1"/>
    </xf>
    <xf numFmtId="168" fontId="8" fillId="4" borderId="18" xfId="1" applyNumberFormat="1" applyFont="1" applyFill="1" applyBorder="1" applyAlignment="1" applyProtection="1">
      <alignment horizontal="center" vertical="center"/>
      <protection hidden="1"/>
    </xf>
    <xf numFmtId="168" fontId="1" fillId="4" borderId="76" xfId="1" applyNumberFormat="1" applyFont="1" applyFill="1" applyBorder="1" applyAlignment="1" applyProtection="1">
      <alignment horizontal="center" vertical="center"/>
    </xf>
    <xf numFmtId="168" fontId="0" fillId="0" borderId="58" xfId="1" applyNumberFormat="1" applyFont="1" applyFill="1" applyBorder="1" applyAlignment="1" applyProtection="1">
      <alignment vertical="center"/>
      <protection locked="0"/>
    </xf>
    <xf numFmtId="168" fontId="18" fillId="4" borderId="77" xfId="1" applyNumberFormat="1" applyFont="1" applyFill="1" applyBorder="1" applyAlignment="1" applyProtection="1">
      <alignment vertical="center"/>
    </xf>
    <xf numFmtId="168" fontId="18" fillId="4" borderId="2" xfId="1" applyNumberFormat="1" applyFont="1" applyFill="1" applyBorder="1" applyAlignment="1" applyProtection="1">
      <alignment vertical="center"/>
    </xf>
    <xf numFmtId="168" fontId="19" fillId="0" borderId="71" xfId="1" applyNumberFormat="1" applyFont="1" applyFill="1" applyBorder="1" applyAlignment="1" applyProtection="1">
      <alignment vertical="center"/>
    </xf>
    <xf numFmtId="168" fontId="19" fillId="0" borderId="67" xfId="1" applyNumberFormat="1" applyFont="1" applyFill="1" applyBorder="1" applyAlignment="1" applyProtection="1">
      <alignment vertical="center"/>
    </xf>
    <xf numFmtId="168" fontId="18" fillId="4" borderId="64" xfId="1" applyNumberFormat="1" applyFont="1" applyFill="1" applyBorder="1" applyAlignment="1" applyProtection="1">
      <alignment vertical="center"/>
    </xf>
    <xf numFmtId="0" fontId="17" fillId="0" borderId="56" xfId="0" applyFont="1" applyBorder="1" applyAlignment="1" applyProtection="1">
      <alignment horizontal="left" vertical="center"/>
      <protection locked="0"/>
    </xf>
    <xf numFmtId="0" fontId="17" fillId="0" borderId="10" xfId="0" applyFont="1" applyBorder="1" applyAlignment="1" applyProtection="1">
      <alignment horizontal="left" vertical="center"/>
      <protection locked="0"/>
    </xf>
    <xf numFmtId="168" fontId="18" fillId="4" borderId="78" xfId="1" applyNumberFormat="1" applyFont="1" applyFill="1" applyBorder="1" applyAlignment="1" applyProtection="1">
      <alignment vertical="center"/>
    </xf>
    <xf numFmtId="168" fontId="19" fillId="0" borderId="75" xfId="1" applyNumberFormat="1" applyFont="1" applyFill="1" applyBorder="1" applyAlignment="1" applyProtection="1">
      <alignment vertical="center"/>
    </xf>
    <xf numFmtId="168" fontId="18" fillId="4" borderId="35" xfId="1" applyNumberFormat="1" applyFont="1" applyFill="1" applyBorder="1" applyAlignment="1" applyProtection="1">
      <alignment vertical="center"/>
    </xf>
    <xf numFmtId="168" fontId="18" fillId="4" borderId="49" xfId="1" applyNumberFormat="1" applyFont="1" applyFill="1" applyBorder="1" applyAlignment="1" applyProtection="1">
      <alignment vertical="center"/>
    </xf>
    <xf numFmtId="168" fontId="8" fillId="4" borderId="17" xfId="1" applyNumberFormat="1" applyFont="1" applyFill="1" applyBorder="1" applyAlignment="1" applyProtection="1">
      <alignment horizontal="center" vertical="center"/>
      <protection hidden="1"/>
    </xf>
    <xf numFmtId="168" fontId="8" fillId="4" borderId="53" xfId="1" applyNumberFormat="1" applyFont="1" applyFill="1" applyBorder="1" applyAlignment="1" applyProtection="1">
      <alignment horizontal="center" vertical="center"/>
      <protection hidden="1"/>
    </xf>
    <xf numFmtId="168" fontId="8" fillId="4" borderId="55" xfId="1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locked="0"/>
    </xf>
    <xf numFmtId="164" fontId="1" fillId="0" borderId="0" xfId="0" applyNumberFormat="1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0" fillId="4" borderId="21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164" fontId="8" fillId="5" borderId="79" xfId="0" applyNumberFormat="1" applyFont="1" applyFill="1" applyBorder="1" applyAlignment="1">
      <alignment horizontal="center" vertical="center" wrapText="1"/>
    </xf>
    <xf numFmtId="164" fontId="8" fillId="5" borderId="73" xfId="0" applyNumberFormat="1" applyFont="1" applyFill="1" applyBorder="1" applyAlignment="1">
      <alignment horizontal="center" vertical="center" wrapText="1"/>
    </xf>
    <xf numFmtId="164" fontId="8" fillId="5" borderId="51" xfId="0" applyNumberFormat="1" applyFont="1" applyFill="1" applyBorder="1" applyAlignment="1">
      <alignment horizontal="center" vertical="center" wrapText="1"/>
    </xf>
    <xf numFmtId="164" fontId="8" fillId="5" borderId="52" xfId="0" applyNumberFormat="1" applyFont="1" applyFill="1" applyBorder="1" applyAlignment="1">
      <alignment horizontal="center" vertical="center" wrapText="1"/>
    </xf>
    <xf numFmtId="0" fontId="0" fillId="5" borderId="73" xfId="0" applyFill="1" applyBorder="1" applyAlignment="1">
      <alignment vertical="center"/>
    </xf>
    <xf numFmtId="0" fontId="0" fillId="5" borderId="55" xfId="0" applyFill="1" applyBorder="1" applyAlignment="1">
      <alignment vertical="center"/>
    </xf>
    <xf numFmtId="164" fontId="8" fillId="5" borderId="18" xfId="0" applyNumberFormat="1" applyFont="1" applyFill="1" applyBorder="1" applyAlignment="1">
      <alignment horizontal="center" vertical="center" wrapText="1"/>
    </xf>
    <xf numFmtId="164" fontId="8" fillId="5" borderId="55" xfId="0" applyNumberFormat="1" applyFont="1" applyFill="1" applyBorder="1" applyAlignment="1">
      <alignment horizontal="center" vertical="center" wrapText="1"/>
    </xf>
    <xf numFmtId="0" fontId="25" fillId="0" borderId="0" xfId="0" applyFont="1" applyAlignment="1" applyProtection="1">
      <alignment vertical="center"/>
      <protection locked="0"/>
    </xf>
    <xf numFmtId="0" fontId="0" fillId="0" borderId="80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8" fontId="0" fillId="0" borderId="81" xfId="0" applyNumberFormat="1" applyBorder="1" applyAlignment="1" applyProtection="1">
      <alignment vertical="center"/>
      <protection locked="0"/>
    </xf>
    <xf numFmtId="168" fontId="0" fillId="0" borderId="80" xfId="0" applyNumberFormat="1" applyBorder="1" applyAlignment="1">
      <alignment vertical="center"/>
    </xf>
    <xf numFmtId="168" fontId="0" fillId="0" borderId="58" xfId="0" applyNumberFormat="1" applyBorder="1" applyAlignment="1">
      <alignment vertical="center"/>
    </xf>
    <xf numFmtId="168" fontId="0" fillId="0" borderId="8" xfId="0" applyNumberFormat="1" applyBorder="1" applyAlignment="1">
      <alignment vertical="center"/>
    </xf>
    <xf numFmtId="168" fontId="0" fillId="4" borderId="80" xfId="0" applyNumberFormat="1" applyFill="1" applyBorder="1" applyAlignment="1">
      <alignment vertical="center"/>
    </xf>
    <xf numFmtId="168" fontId="0" fillId="4" borderId="60" xfId="0" applyNumberFormat="1" applyFill="1" applyBorder="1" applyAlignment="1">
      <alignment vertical="center"/>
    </xf>
    <xf numFmtId="168" fontId="0" fillId="0" borderId="82" xfId="0" applyNumberFormat="1" applyBorder="1" applyAlignment="1" applyProtection="1">
      <alignment vertical="center"/>
      <protection locked="0"/>
    </xf>
    <xf numFmtId="168" fontId="0" fillId="0" borderId="9" xfId="1" applyNumberFormat="1" applyFont="1" applyBorder="1" applyAlignment="1" applyProtection="1">
      <alignment vertical="center"/>
    </xf>
    <xf numFmtId="168" fontId="0" fillId="0" borderId="58" xfId="1" applyNumberFormat="1" applyFont="1" applyBorder="1" applyAlignment="1" applyProtection="1">
      <alignment vertical="center"/>
    </xf>
    <xf numFmtId="168" fontId="0" fillId="0" borderId="60" xfId="1" applyNumberFormat="1" applyFont="1" applyBorder="1" applyAlignment="1" applyProtection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0" fillId="0" borderId="7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8" fontId="0" fillId="4" borderId="76" xfId="0" applyNumberFormat="1" applyFill="1" applyBorder="1" applyAlignment="1">
      <alignment vertical="center"/>
    </xf>
    <xf numFmtId="168" fontId="0" fillId="4" borderId="83" xfId="0" applyNumberFormat="1" applyFill="1" applyBorder="1" applyAlignment="1">
      <alignment vertical="center"/>
    </xf>
    <xf numFmtId="168" fontId="0" fillId="0" borderId="3" xfId="1" applyNumberFormat="1" applyFont="1" applyBorder="1" applyAlignment="1" applyProtection="1">
      <alignment vertical="center"/>
    </xf>
    <xf numFmtId="168" fontId="0" fillId="0" borderId="1" xfId="1" applyNumberFormat="1" applyFont="1" applyBorder="1" applyAlignment="1" applyProtection="1">
      <alignment vertical="center"/>
    </xf>
    <xf numFmtId="168" fontId="0" fillId="0" borderId="83" xfId="1" applyNumberFormat="1" applyFont="1" applyBorder="1" applyAlignment="1" applyProtection="1">
      <alignment vertical="center"/>
    </xf>
    <xf numFmtId="168" fontId="0" fillId="0" borderId="5" xfId="1" applyNumberFormat="1" applyFont="1" applyBorder="1" applyAlignment="1" applyProtection="1">
      <alignment vertical="center"/>
    </xf>
    <xf numFmtId="168" fontId="0" fillId="0" borderId="4" xfId="1" applyNumberFormat="1" applyFont="1" applyBorder="1" applyAlignment="1" applyProtection="1">
      <alignment vertical="center"/>
    </xf>
    <xf numFmtId="168" fontId="0" fillId="0" borderId="84" xfId="1" applyNumberFormat="1" applyFont="1" applyBorder="1" applyAlignment="1" applyProtection="1">
      <alignment vertical="center"/>
    </xf>
    <xf numFmtId="0" fontId="0" fillId="0" borderId="8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8" fontId="0" fillId="0" borderId="34" xfId="0" applyNumberFormat="1" applyBorder="1" applyAlignment="1">
      <alignment vertical="center"/>
    </xf>
    <xf numFmtId="168" fontId="0" fillId="4" borderId="85" xfId="0" applyNumberFormat="1" applyFill="1" applyBorder="1" applyAlignment="1">
      <alignment vertical="center"/>
    </xf>
    <xf numFmtId="168" fontId="0" fillId="4" borderId="84" xfId="0" applyNumberFormat="1" applyFill="1" applyBorder="1" applyAlignment="1">
      <alignment vertical="center"/>
    </xf>
    <xf numFmtId="0" fontId="9" fillId="5" borderId="16" xfId="0" applyFont="1" applyFill="1" applyBorder="1" applyAlignment="1">
      <alignment horizontal="left" vertical="center"/>
    </xf>
    <xf numFmtId="0" fontId="9" fillId="5" borderId="17" xfId="0" applyFont="1" applyFill="1" applyBorder="1" applyAlignment="1">
      <alignment horizontal="left" vertical="center"/>
    </xf>
    <xf numFmtId="168" fontId="9" fillId="5" borderId="79" xfId="0" applyNumberFormat="1" applyFont="1" applyFill="1" applyBorder="1" applyAlignment="1" applyProtection="1">
      <alignment vertical="center"/>
      <protection hidden="1"/>
    </xf>
    <xf numFmtId="168" fontId="9" fillId="5" borderId="73" xfId="0" applyNumberFormat="1" applyFont="1" applyFill="1" applyBorder="1" applyAlignment="1" applyProtection="1">
      <alignment vertical="center"/>
      <protection hidden="1"/>
    </xf>
    <xf numFmtId="168" fontId="9" fillId="5" borderId="51" xfId="0" applyNumberFormat="1" applyFont="1" applyFill="1" applyBorder="1" applyAlignment="1" applyProtection="1">
      <alignment vertical="center"/>
      <protection hidden="1"/>
    </xf>
    <xf numFmtId="168" fontId="9" fillId="5" borderId="52" xfId="0" applyNumberFormat="1" applyFont="1" applyFill="1" applyBorder="1" applyAlignment="1" applyProtection="1">
      <alignment vertical="center"/>
      <protection hidden="1"/>
    </xf>
    <xf numFmtId="168" fontId="9" fillId="5" borderId="55" xfId="0" applyNumberFormat="1" applyFont="1" applyFill="1" applyBorder="1" applyAlignment="1" applyProtection="1">
      <alignment vertical="center"/>
      <protection hidden="1"/>
    </xf>
    <xf numFmtId="168" fontId="9" fillId="5" borderId="18" xfId="0" applyNumberFormat="1" applyFont="1" applyFill="1" applyBorder="1" applyAlignment="1" applyProtection="1">
      <alignment vertical="center"/>
      <protection hidden="1"/>
    </xf>
    <xf numFmtId="168" fontId="9" fillId="5" borderId="17" xfId="0" applyNumberFormat="1" applyFont="1" applyFill="1" applyBorder="1" applyAlignment="1" applyProtection="1">
      <alignment vertical="center"/>
      <protection hidden="1"/>
    </xf>
    <xf numFmtId="0" fontId="12" fillId="2" borderId="16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2" fillId="2" borderId="18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12" xfId="0" applyBorder="1" applyAlignment="1">
      <alignment vertical="center"/>
    </xf>
    <xf numFmtId="0" fontId="9" fillId="5" borderId="16" xfId="0" applyFont="1" applyFill="1" applyBorder="1" applyAlignment="1">
      <alignment horizontal="left" vertical="center" wrapText="1"/>
    </xf>
    <xf numFmtId="0" fontId="9" fillId="5" borderId="17" xfId="0" applyFont="1" applyFill="1" applyBorder="1" applyAlignment="1">
      <alignment horizontal="left" vertical="center" wrapText="1"/>
    </xf>
    <xf numFmtId="0" fontId="9" fillId="5" borderId="18" xfId="0" applyFont="1" applyFill="1" applyBorder="1" applyAlignment="1">
      <alignment horizontal="left" vertical="center" wrapText="1"/>
    </xf>
    <xf numFmtId="164" fontId="8" fillId="5" borderId="16" xfId="0" applyNumberFormat="1" applyFont="1" applyFill="1" applyBorder="1" applyAlignment="1">
      <alignment horizontal="center" vertical="center" wrapText="1"/>
    </xf>
    <xf numFmtId="164" fontId="8" fillId="5" borderId="50" xfId="0" applyNumberFormat="1" applyFont="1" applyFill="1" applyBorder="1" applyAlignment="1">
      <alignment horizontal="center" vertical="center" wrapText="1"/>
    </xf>
    <xf numFmtId="0" fontId="9" fillId="0" borderId="56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164" fontId="0" fillId="0" borderId="10" xfId="0" applyNumberFormat="1" applyBorder="1" applyAlignment="1">
      <alignment vertical="center"/>
    </xf>
    <xf numFmtId="168" fontId="0" fillId="0" borderId="86" xfId="0" applyNumberFormat="1" applyBorder="1" applyAlignment="1" applyProtection="1">
      <alignment vertical="center"/>
      <protection locked="0"/>
    </xf>
    <xf numFmtId="168" fontId="0" fillId="0" borderId="26" xfId="0" applyNumberFormat="1" applyBorder="1" applyAlignment="1" applyProtection="1">
      <alignment vertical="center"/>
      <protection locked="0"/>
    </xf>
    <xf numFmtId="168" fontId="0" fillId="4" borderId="87" xfId="0" applyNumberFormat="1" applyFill="1" applyBorder="1" applyAlignment="1" applyProtection="1">
      <alignment vertical="center"/>
      <protection locked="0" hidden="1"/>
    </xf>
    <xf numFmtId="168" fontId="0" fillId="0" borderId="10" xfId="0" applyNumberFormat="1" applyBorder="1" applyAlignment="1" applyProtection="1">
      <alignment vertical="center"/>
      <protection locked="0"/>
    </xf>
    <xf numFmtId="168" fontId="0" fillId="0" borderId="58" xfId="0" applyNumberFormat="1" applyBorder="1" applyAlignment="1" applyProtection="1">
      <alignment vertical="center"/>
      <protection locked="0"/>
    </xf>
    <xf numFmtId="0" fontId="0" fillId="0" borderId="56" xfId="0" applyBorder="1" applyAlignment="1">
      <alignment vertical="center"/>
    </xf>
    <xf numFmtId="0" fontId="9" fillId="0" borderId="62" xfId="0" applyFont="1" applyBorder="1" applyAlignment="1">
      <alignment vertical="center"/>
    </xf>
    <xf numFmtId="0" fontId="0" fillId="0" borderId="62" xfId="0" applyBorder="1" applyAlignment="1">
      <alignment vertical="center"/>
    </xf>
    <xf numFmtId="164" fontId="0" fillId="0" borderId="62" xfId="0" applyNumberFormat="1" applyBorder="1" applyAlignment="1">
      <alignment vertical="center"/>
    </xf>
    <xf numFmtId="168" fontId="0" fillId="0" borderId="61" xfId="0" applyNumberFormat="1" applyBorder="1" applyAlignment="1">
      <alignment vertical="center"/>
    </xf>
    <xf numFmtId="168" fontId="0" fillId="0" borderId="2" xfId="0" applyNumberFormat="1" applyBorder="1" applyAlignment="1">
      <alignment vertical="center"/>
    </xf>
    <xf numFmtId="168" fontId="0" fillId="4" borderId="81" xfId="0" applyNumberFormat="1" applyFill="1" applyBorder="1" applyAlignment="1" applyProtection="1">
      <alignment vertical="center"/>
      <protection hidden="1"/>
    </xf>
    <xf numFmtId="168" fontId="0" fillId="0" borderId="10" xfId="0" applyNumberFormat="1" applyBorder="1" applyAlignment="1">
      <alignment vertical="center"/>
    </xf>
    <xf numFmtId="0" fontId="9" fillId="6" borderId="61" xfId="0" applyFont="1" applyFill="1" applyBorder="1" applyAlignment="1">
      <alignment vertical="center"/>
    </xf>
    <xf numFmtId="0" fontId="9" fillId="6" borderId="62" xfId="0" applyFont="1" applyFill="1" applyBorder="1" applyAlignment="1">
      <alignment vertical="center"/>
    </xf>
    <xf numFmtId="164" fontId="9" fillId="6" borderId="62" xfId="0" applyNumberFormat="1" applyFont="1" applyFill="1" applyBorder="1" applyAlignment="1">
      <alignment vertical="center"/>
    </xf>
    <xf numFmtId="168" fontId="9" fillId="4" borderId="61" xfId="0" applyNumberFormat="1" applyFont="1" applyFill="1" applyBorder="1" applyAlignment="1">
      <alignment vertical="center"/>
    </xf>
    <xf numFmtId="168" fontId="9" fillId="4" borderId="2" xfId="0" applyNumberFormat="1" applyFont="1" applyFill="1" applyBorder="1" applyAlignment="1">
      <alignment vertical="center"/>
    </xf>
    <xf numFmtId="168" fontId="9" fillId="4" borderId="82" xfId="0" applyNumberFormat="1" applyFont="1" applyFill="1" applyBorder="1" applyAlignment="1" applyProtection="1">
      <alignment vertical="center"/>
      <protection hidden="1"/>
    </xf>
    <xf numFmtId="168" fontId="9" fillId="4" borderId="62" xfId="0" applyNumberFormat="1" applyFont="1" applyFill="1" applyBorder="1" applyAlignment="1">
      <alignment vertical="center"/>
    </xf>
    <xf numFmtId="168" fontId="9" fillId="4" borderId="1" xfId="0" applyNumberFormat="1" applyFont="1" applyFill="1" applyBorder="1" applyAlignment="1">
      <alignment vertical="center"/>
    </xf>
    <xf numFmtId="0" fontId="0" fillId="0" borderId="61" xfId="0" applyBorder="1" applyAlignment="1">
      <alignment vertical="center"/>
    </xf>
    <xf numFmtId="168" fontId="0" fillId="0" borderId="61" xfId="0" applyNumberFormat="1" applyBorder="1" applyAlignment="1" applyProtection="1">
      <alignment vertical="center"/>
      <protection locked="0"/>
    </xf>
    <xf numFmtId="168" fontId="0" fillId="0" borderId="2" xfId="0" applyNumberFormat="1" applyBorder="1" applyAlignment="1" applyProtection="1">
      <alignment vertical="center"/>
      <protection locked="0"/>
    </xf>
    <xf numFmtId="168" fontId="0" fillId="4" borderId="82" xfId="0" applyNumberFormat="1" applyFill="1" applyBorder="1" applyAlignment="1" applyProtection="1">
      <alignment vertical="center"/>
      <protection locked="0" hidden="1"/>
    </xf>
    <xf numFmtId="168" fontId="0" fillId="0" borderId="62" xfId="0" applyNumberFormat="1" applyBorder="1" applyAlignment="1" applyProtection="1">
      <alignment vertical="center"/>
      <protection locked="0"/>
    </xf>
    <xf numFmtId="168" fontId="0" fillId="0" borderId="1" xfId="0" applyNumberFormat="1" applyBorder="1" applyAlignment="1" applyProtection="1">
      <alignment vertical="center"/>
      <protection locked="0"/>
    </xf>
    <xf numFmtId="0" fontId="0" fillId="0" borderId="68" xfId="0" applyBorder="1" applyAlignment="1">
      <alignment vertical="center"/>
    </xf>
    <xf numFmtId="0" fontId="9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164" fontId="0" fillId="0" borderId="7" xfId="0" applyNumberFormat="1" applyBorder="1" applyAlignment="1">
      <alignment vertical="center"/>
    </xf>
    <xf numFmtId="168" fontId="0" fillId="0" borderId="68" xfId="0" applyNumberFormat="1" applyBorder="1" applyAlignment="1" applyProtection="1">
      <alignment vertical="center"/>
      <protection locked="0"/>
    </xf>
    <xf numFmtId="168" fontId="0" fillId="0" borderId="6" xfId="0" applyNumberFormat="1" applyBorder="1" applyAlignment="1" applyProtection="1">
      <alignment vertical="center"/>
      <protection locked="0"/>
    </xf>
    <xf numFmtId="168" fontId="0" fillId="4" borderId="88" xfId="0" applyNumberFormat="1" applyFill="1" applyBorder="1" applyAlignment="1" applyProtection="1">
      <alignment vertical="center"/>
      <protection locked="0" hidden="1"/>
    </xf>
    <xf numFmtId="168" fontId="0" fillId="0" borderId="7" xfId="0" applyNumberFormat="1" applyBorder="1" applyAlignment="1" applyProtection="1">
      <alignment vertical="center"/>
      <protection locked="0"/>
    </xf>
    <xf numFmtId="168" fontId="0" fillId="0" borderId="4" xfId="1" applyNumberFormat="1" applyFont="1" applyFill="1" applyBorder="1" applyAlignment="1" applyProtection="1">
      <alignment vertical="center"/>
      <protection locked="0"/>
    </xf>
    <xf numFmtId="168" fontId="0" fillId="0" borderId="7" xfId="1" applyNumberFormat="1" applyFont="1" applyFill="1" applyBorder="1" applyAlignment="1" applyProtection="1">
      <alignment vertical="center"/>
      <protection locked="0"/>
    </xf>
    <xf numFmtId="168" fontId="1" fillId="4" borderId="88" xfId="1" applyNumberFormat="1" applyFont="1" applyFill="1" applyBorder="1" applyAlignment="1" applyProtection="1">
      <alignment vertical="center"/>
      <protection locked="0" hidden="1"/>
    </xf>
    <xf numFmtId="0" fontId="9" fillId="4" borderId="16" xfId="0" applyFont="1" applyFill="1" applyBorder="1" applyAlignment="1">
      <alignment vertical="center"/>
    </xf>
    <xf numFmtId="0" fontId="9" fillId="4" borderId="17" xfId="0" applyFont="1" applyFill="1" applyBorder="1" applyAlignment="1">
      <alignment vertical="center"/>
    </xf>
    <xf numFmtId="164" fontId="9" fillId="4" borderId="17" xfId="0" applyNumberFormat="1" applyFont="1" applyFill="1" applyBorder="1" applyAlignment="1">
      <alignment vertical="center"/>
    </xf>
    <xf numFmtId="168" fontId="9" fillId="4" borderId="16" xfId="0" applyNumberFormat="1" applyFont="1" applyFill="1" applyBorder="1" applyAlignment="1" applyProtection="1">
      <alignment vertical="center"/>
      <protection hidden="1"/>
    </xf>
    <xf numFmtId="168" fontId="9" fillId="4" borderId="52" xfId="0" applyNumberFormat="1" applyFont="1" applyFill="1" applyBorder="1" applyAlignment="1" applyProtection="1">
      <alignment vertical="center"/>
      <protection hidden="1"/>
    </xf>
    <xf numFmtId="168" fontId="9" fillId="4" borderId="79" xfId="0" applyNumberFormat="1" applyFont="1" applyFill="1" applyBorder="1" applyAlignment="1" applyProtection="1">
      <alignment vertical="center"/>
      <protection hidden="1"/>
    </xf>
    <xf numFmtId="168" fontId="9" fillId="4" borderId="17" xfId="0" applyNumberFormat="1" applyFont="1" applyFill="1" applyBorder="1" applyAlignment="1" applyProtection="1">
      <alignment vertical="center"/>
      <protection hidden="1"/>
    </xf>
    <xf numFmtId="168" fontId="9" fillId="4" borderId="51" xfId="0" applyNumberFormat="1" applyFont="1" applyFill="1" applyBorder="1" applyAlignment="1" applyProtection="1">
      <alignment vertical="center"/>
      <protection hidden="1"/>
    </xf>
    <xf numFmtId="0" fontId="0" fillId="0" borderId="36" xfId="0" applyBorder="1" applyAlignment="1" applyProtection="1">
      <alignment vertical="center"/>
      <protection locked="0"/>
    </xf>
    <xf numFmtId="168" fontId="9" fillId="4" borderId="87" xfId="0" applyNumberFormat="1" applyFont="1" applyFill="1" applyBorder="1" applyAlignment="1" applyProtection="1">
      <alignment vertical="center"/>
      <protection locked="0" hidden="1"/>
    </xf>
    <xf numFmtId="168" fontId="9" fillId="4" borderId="81" xfId="0" applyNumberFormat="1" applyFont="1" applyFill="1" applyBorder="1" applyAlignment="1" applyProtection="1">
      <alignment vertical="center"/>
      <protection hidden="1"/>
    </xf>
    <xf numFmtId="168" fontId="9" fillId="6" borderId="61" xfId="0" applyNumberFormat="1" applyFont="1" applyFill="1" applyBorder="1" applyAlignment="1">
      <alignment vertical="center"/>
    </xf>
    <xf numFmtId="168" fontId="9" fillId="6" borderId="2" xfId="0" applyNumberFormat="1" applyFont="1" applyFill="1" applyBorder="1" applyAlignment="1">
      <alignment vertical="center"/>
    </xf>
    <xf numFmtId="168" fontId="9" fillId="6" borderId="62" xfId="0" applyNumberFormat="1" applyFont="1" applyFill="1" applyBorder="1" applyAlignment="1">
      <alignment vertical="center"/>
    </xf>
    <xf numFmtId="168" fontId="9" fillId="6" borderId="1" xfId="0" applyNumberFormat="1" applyFont="1" applyFill="1" applyBorder="1" applyAlignment="1">
      <alignment vertical="center"/>
    </xf>
    <xf numFmtId="168" fontId="9" fillId="4" borderId="82" xfId="0" applyNumberFormat="1" applyFont="1" applyFill="1" applyBorder="1" applyAlignment="1" applyProtection="1">
      <alignment vertical="center"/>
      <protection locked="0" hidden="1"/>
    </xf>
    <xf numFmtId="168" fontId="9" fillId="4" borderId="88" xfId="0" applyNumberFormat="1" applyFont="1" applyFill="1" applyBorder="1" applyAlignment="1" applyProtection="1">
      <alignment vertical="center"/>
      <protection locked="0" hidden="1"/>
    </xf>
    <xf numFmtId="168" fontId="9" fillId="4" borderId="88" xfId="1" applyNumberFormat="1" applyFont="1" applyFill="1" applyBorder="1" applyAlignment="1" applyProtection="1">
      <alignment vertical="center"/>
      <protection locked="0" hidden="1"/>
    </xf>
    <xf numFmtId="168" fontId="0" fillId="4" borderId="16" xfId="0" applyNumberFormat="1" applyFill="1" applyBorder="1" applyAlignment="1" applyProtection="1">
      <alignment vertical="center"/>
      <protection hidden="1"/>
    </xf>
    <xf numFmtId="168" fontId="0" fillId="4" borderId="52" xfId="0" applyNumberFormat="1" applyFill="1" applyBorder="1" applyAlignment="1" applyProtection="1">
      <alignment vertical="center"/>
      <protection hidden="1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8" fillId="4" borderId="73" xfId="0" applyFont="1" applyFill="1" applyBorder="1" applyAlignment="1">
      <alignment horizontal="left" vertical="center"/>
    </xf>
    <xf numFmtId="0" fontId="8" fillId="4" borderId="51" xfId="0" applyFont="1" applyFill="1" applyBorder="1" applyAlignment="1">
      <alignment horizontal="left" vertical="center"/>
    </xf>
    <xf numFmtId="0" fontId="8" fillId="4" borderId="52" xfId="0" applyFont="1" applyFill="1" applyBorder="1" applyAlignment="1">
      <alignment horizontal="left" vertical="center"/>
    </xf>
    <xf numFmtId="164" fontId="8" fillId="4" borderId="89" xfId="1" applyFont="1" applyFill="1" applyBorder="1" applyAlignment="1" applyProtection="1">
      <alignment horizontal="center" vertical="center"/>
    </xf>
    <xf numFmtId="164" fontId="8" fillId="4" borderId="26" xfId="1" applyFont="1" applyFill="1" applyBorder="1" applyAlignment="1" applyProtection="1">
      <alignment horizontal="center" vertical="center"/>
    </xf>
    <xf numFmtId="164" fontId="8" fillId="4" borderId="31" xfId="1" applyFont="1" applyFill="1" applyBorder="1" applyAlignment="1" applyProtection="1">
      <alignment horizontal="center" vertical="center"/>
    </xf>
    <xf numFmtId="0" fontId="9" fillId="0" borderId="5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168" fontId="9" fillId="0" borderId="89" xfId="1" applyNumberFormat="1" applyFont="1" applyBorder="1" applyAlignment="1" applyProtection="1">
      <alignment vertical="center"/>
      <protection hidden="1"/>
    </xf>
    <xf numFmtId="168" fontId="9" fillId="0" borderId="26" xfId="1" applyNumberFormat="1" applyFont="1" applyBorder="1" applyAlignment="1" applyProtection="1">
      <alignment vertical="center"/>
      <protection hidden="1"/>
    </xf>
    <xf numFmtId="168" fontId="9" fillId="0" borderId="31" xfId="1" applyNumberFormat="1" applyFont="1" applyBorder="1" applyAlignment="1" applyProtection="1">
      <alignment vertical="center"/>
      <protection hidden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68" fontId="0" fillId="0" borderId="76" xfId="1" applyNumberFormat="1" applyFont="1" applyBorder="1" applyAlignment="1" applyProtection="1">
      <alignment vertical="center"/>
      <protection hidden="1"/>
    </xf>
    <xf numFmtId="168" fontId="0" fillId="0" borderId="2" xfId="1" applyNumberFormat="1" applyFont="1" applyBorder="1" applyAlignment="1" applyProtection="1">
      <alignment vertical="center"/>
      <protection hidden="1"/>
    </xf>
    <xf numFmtId="168" fontId="0" fillId="0" borderId="76" xfId="1" applyNumberFormat="1" applyFont="1" applyFill="1" applyBorder="1" applyAlignment="1" applyProtection="1">
      <alignment vertical="center"/>
      <protection locked="0"/>
    </xf>
    <xf numFmtId="168" fontId="0" fillId="0" borderId="2" xfId="1" applyNumberFormat="1" applyFont="1" applyFill="1" applyBorder="1" applyAlignment="1" applyProtection="1">
      <alignment vertical="center"/>
      <protection locked="0"/>
    </xf>
    <xf numFmtId="168" fontId="0" fillId="0" borderId="83" xfId="1" applyNumberFormat="1" applyFont="1" applyFill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left" vertical="center"/>
      <protection locked="0"/>
    </xf>
    <xf numFmtId="0" fontId="9" fillId="0" borderId="6" xfId="0" applyFont="1" applyBorder="1" applyAlignment="1" applyProtection="1">
      <alignment horizontal="left" vertical="center"/>
      <protection locked="0"/>
    </xf>
    <xf numFmtId="168" fontId="0" fillId="0" borderId="85" xfId="1" applyNumberFormat="1" applyFont="1" applyFill="1" applyBorder="1" applyAlignment="1" applyProtection="1">
      <alignment vertical="center"/>
      <protection locked="0"/>
    </xf>
    <xf numFmtId="168" fontId="0" fillId="0" borderId="6" xfId="1" applyNumberFormat="1" applyFont="1" applyFill="1" applyBorder="1" applyAlignment="1" applyProtection="1">
      <alignment vertical="center"/>
      <protection locked="0"/>
    </xf>
    <xf numFmtId="168" fontId="0" fillId="0" borderId="84" xfId="1" applyNumberFormat="1" applyFont="1" applyFill="1" applyBorder="1" applyAlignment="1" applyProtection="1">
      <alignment vertical="center"/>
      <protection locked="0"/>
    </xf>
    <xf numFmtId="0" fontId="9" fillId="4" borderId="16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left" vertical="center"/>
    </xf>
    <xf numFmtId="168" fontId="9" fillId="4" borderId="73" xfId="1" applyNumberFormat="1" applyFont="1" applyFill="1" applyBorder="1" applyAlignment="1" applyProtection="1">
      <alignment vertical="center"/>
      <protection hidden="1"/>
    </xf>
    <xf numFmtId="168" fontId="9" fillId="4" borderId="52" xfId="1" applyNumberFormat="1" applyFont="1" applyFill="1" applyBorder="1" applyAlignment="1" applyProtection="1">
      <alignment vertical="center"/>
      <protection hidden="1"/>
    </xf>
    <xf numFmtId="168" fontId="9" fillId="4" borderId="55" xfId="1" applyNumberFormat="1" applyFont="1" applyFill="1" applyBorder="1" applyAlignment="1" applyProtection="1">
      <alignment vertical="center"/>
      <protection hidden="1"/>
    </xf>
    <xf numFmtId="164" fontId="27" fillId="0" borderId="0" xfId="0" applyNumberFormat="1" applyFont="1" applyAlignment="1" applyProtection="1">
      <alignment horizontal="center"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164" fontId="2" fillId="0" borderId="0" xfId="1" applyFont="1" applyAlignment="1" applyProtection="1">
      <alignment vertical="center"/>
      <protection locked="0"/>
    </xf>
    <xf numFmtId="164" fontId="2" fillId="0" borderId="0" xfId="1" applyFont="1" applyBorder="1" applyAlignment="1" applyProtection="1">
      <alignment vertical="center"/>
      <protection locked="0"/>
    </xf>
    <xf numFmtId="164" fontId="11" fillId="0" borderId="2" xfId="0" applyNumberFormat="1" applyFont="1" applyBorder="1" applyAlignment="1">
      <alignment horizontal="center" vertical="center"/>
    </xf>
    <xf numFmtId="164" fontId="11" fillId="0" borderId="62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2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vertical="center"/>
    </xf>
    <xf numFmtId="164" fontId="11" fillId="0" borderId="5" xfId="0" applyNumberFormat="1" applyFont="1" applyBorder="1" applyAlignment="1">
      <alignment vertical="center"/>
    </xf>
    <xf numFmtId="164" fontId="28" fillId="0" borderId="4" xfId="0" applyNumberFormat="1" applyFont="1" applyBorder="1" applyAlignment="1" applyProtection="1">
      <alignment vertical="center"/>
      <protection locked="0"/>
    </xf>
    <xf numFmtId="164" fontId="9" fillId="0" borderId="0" xfId="1" applyFont="1" applyAlignment="1" applyProtection="1">
      <alignment horizontal="right" vertical="center"/>
    </xf>
    <xf numFmtId="164" fontId="9" fillId="0" borderId="0" xfId="1" applyFont="1" applyAlignment="1" applyProtection="1">
      <alignment vertical="center"/>
      <protection locked="0"/>
    </xf>
    <xf numFmtId="164" fontId="11" fillId="0" borderId="34" xfId="0" applyNumberFormat="1" applyFont="1" applyBorder="1" applyAlignment="1">
      <alignment vertical="center"/>
    </xf>
    <xf numFmtId="164" fontId="11" fillId="0" borderId="32" xfId="0" applyNumberFormat="1" applyFont="1" applyBorder="1" applyAlignment="1">
      <alignment vertical="center"/>
    </xf>
    <xf numFmtId="164" fontId="28" fillId="0" borderId="33" xfId="0" applyNumberFormat="1" applyFont="1" applyBorder="1" applyAlignment="1" applyProtection="1">
      <alignment vertical="center"/>
      <protection locked="0"/>
    </xf>
    <xf numFmtId="164" fontId="11" fillId="0" borderId="8" xfId="0" applyNumberFormat="1" applyFont="1" applyBorder="1" applyAlignment="1">
      <alignment vertical="center"/>
    </xf>
    <xf numFmtId="164" fontId="11" fillId="0" borderId="9" xfId="0" applyNumberFormat="1" applyFont="1" applyBorder="1" applyAlignment="1">
      <alignment vertical="center"/>
    </xf>
    <xf numFmtId="164" fontId="28" fillId="0" borderId="58" xfId="0" applyNumberFormat="1" applyFont="1" applyBorder="1" applyAlignment="1" applyProtection="1">
      <alignment vertical="center"/>
      <protection locked="0"/>
    </xf>
    <xf numFmtId="164" fontId="9" fillId="0" borderId="0" xfId="0" applyNumberFormat="1" applyFont="1" applyAlignment="1" applyProtection="1">
      <alignment vertical="center"/>
      <protection locked="0"/>
    </xf>
    <xf numFmtId="164" fontId="11" fillId="0" borderId="0" xfId="0" applyNumberFormat="1" applyFont="1" applyAlignment="1" applyProtection="1">
      <alignment vertical="center"/>
      <protection locked="0"/>
    </xf>
    <xf numFmtId="164" fontId="9" fillId="0" borderId="0" xfId="1" applyFont="1" applyBorder="1" applyAlignment="1" applyProtection="1">
      <alignment vertical="center"/>
      <protection locked="0"/>
    </xf>
    <xf numFmtId="164" fontId="2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20" fillId="7" borderId="0" xfId="0" applyFont="1" applyFill="1" applyAlignment="1">
      <alignment horizontal="left"/>
    </xf>
    <xf numFmtId="168" fontId="18" fillId="7" borderId="58" xfId="1" applyNumberFormat="1" applyFont="1" applyFill="1" applyBorder="1" applyAlignment="1" applyProtection="1">
      <alignment vertical="center" wrapText="1"/>
      <protection locked="0"/>
    </xf>
    <xf numFmtId="168" fontId="8" fillId="8" borderId="51" xfId="1" applyNumberFormat="1" applyFont="1" applyFill="1" applyBorder="1" applyAlignment="1" applyProtection="1">
      <alignment horizontal="center" vertical="center"/>
      <protection hidden="1"/>
    </xf>
    <xf numFmtId="168" fontId="8" fillId="8" borderId="20" xfId="1" applyNumberFormat="1" applyFont="1" applyFill="1" applyBorder="1" applyAlignment="1" applyProtection="1">
      <alignment horizontal="center" vertical="center"/>
      <protection hidden="1"/>
    </xf>
    <xf numFmtId="168" fontId="18" fillId="7" borderId="58" xfId="1" applyNumberFormat="1" applyFont="1" applyFill="1" applyBorder="1" applyAlignment="1" applyProtection="1">
      <alignment vertical="center"/>
      <protection locked="0"/>
    </xf>
    <xf numFmtId="0" fontId="9" fillId="0" borderId="0" xfId="0" applyFont="1"/>
    <xf numFmtId="0" fontId="11" fillId="0" borderId="0" xfId="0" applyFont="1"/>
    <xf numFmtId="0" fontId="20" fillId="9" borderId="90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0" fontId="9" fillId="0" borderId="0" xfId="0" applyFont="1" applyAlignment="1">
      <alignment horizontal="left"/>
    </xf>
    <xf numFmtId="164" fontId="0" fillId="0" borderId="0" xfId="1" applyFont="1" applyFill="1"/>
    <xf numFmtId="0" fontId="8" fillId="0" borderId="0" xfId="0" applyFont="1"/>
    <xf numFmtId="43" fontId="0" fillId="0" borderId="0" xfId="0" applyNumberFormat="1"/>
    <xf numFmtId="164" fontId="0" fillId="7" borderId="7" xfId="1" applyFont="1" applyFill="1" applyBorder="1"/>
    <xf numFmtId="164" fontId="0" fillId="0" borderId="0" xfId="1" applyFont="1"/>
    <xf numFmtId="164" fontId="0" fillId="0" borderId="0" xfId="1" applyFont="1" applyFill="1" applyAlignment="1">
      <alignment horizontal="center"/>
    </xf>
    <xf numFmtId="43" fontId="8" fillId="0" borderId="0" xfId="0" applyNumberFormat="1" applyFont="1"/>
    <xf numFmtId="0" fontId="29" fillId="0" borderId="0" xfId="0" applyFont="1"/>
    <xf numFmtId="0" fontId="20" fillId="0" borderId="90" xfId="0" applyFont="1" applyBorder="1"/>
    <xf numFmtId="164" fontId="20" fillId="0" borderId="90" xfId="1" applyFont="1" applyFill="1" applyBorder="1"/>
    <xf numFmtId="164" fontId="20" fillId="10" borderId="91" xfId="0" applyNumberFormat="1" applyFont="1" applyFill="1" applyBorder="1"/>
    <xf numFmtId="0" fontId="0" fillId="11" borderId="0" xfId="0" applyFill="1"/>
    <xf numFmtId="43" fontId="8" fillId="0" borderId="0" xfId="0" applyNumberFormat="1" applyFont="1" applyAlignment="1">
      <alignment horizontal="left"/>
    </xf>
    <xf numFmtId="164" fontId="0" fillId="0" borderId="7" xfId="1" applyFont="1" applyFill="1" applyBorder="1"/>
    <xf numFmtId="164" fontId="0" fillId="0" borderId="7" xfId="0" applyNumberFormat="1" applyBorder="1"/>
    <xf numFmtId="0" fontId="8" fillId="7" borderId="0" xfId="0" applyFont="1" applyFill="1" applyAlignment="1">
      <alignment horizontal="left"/>
    </xf>
    <xf numFmtId="10" fontId="9" fillId="7" borderId="0" xfId="0" applyNumberFormat="1" applyFont="1" applyFill="1"/>
    <xf numFmtId="9" fontId="9" fillId="7" borderId="0" xfId="0" applyNumberFormat="1" applyFont="1" applyFill="1"/>
    <xf numFmtId="0" fontId="0" fillId="7" borderId="0" xfId="0" applyFill="1"/>
    <xf numFmtId="0" fontId="20" fillId="12" borderId="1" xfId="0" applyFont="1" applyFill="1" applyBorder="1"/>
    <xf numFmtId="164" fontId="0" fillId="0" borderId="1" xfId="1" applyFont="1" applyBorder="1"/>
    <xf numFmtId="0" fontId="9" fillId="0" borderId="1" xfId="0" applyFont="1" applyBorder="1" applyAlignment="1">
      <alignment horizontal="left"/>
    </xf>
    <xf numFmtId="164" fontId="0" fillId="7" borderId="0" xfId="1" applyFont="1" applyFill="1"/>
    <xf numFmtId="2" fontId="0" fillId="7" borderId="0" xfId="0" applyNumberFormat="1" applyFill="1"/>
    <xf numFmtId="2" fontId="0" fillId="7" borderId="0" xfId="1" applyNumberFormat="1" applyFont="1" applyFill="1"/>
    <xf numFmtId="165" fontId="9" fillId="0" borderId="0" xfId="0" applyNumberFormat="1" applyFont="1" applyAlignment="1" applyProtection="1">
      <alignment vertical="center"/>
      <protection locked="0"/>
    </xf>
    <xf numFmtId="0" fontId="9" fillId="0" borderId="1" xfId="0" applyFont="1" applyBorder="1"/>
    <xf numFmtId="164" fontId="9" fillId="0" borderId="0" xfId="0" applyNumberFormat="1" applyFont="1"/>
    <xf numFmtId="0" fontId="0" fillId="0" borderId="1" xfId="0" applyBorder="1"/>
    <xf numFmtId="164" fontId="0" fillId="0" borderId="1" xfId="0" applyNumberFormat="1" applyBorder="1"/>
    <xf numFmtId="0" fontId="20" fillId="0" borderId="1" xfId="0" applyFont="1" applyBorder="1"/>
    <xf numFmtId="167" fontId="0" fillId="0" borderId="1" xfId="0" applyNumberFormat="1" applyBorder="1"/>
    <xf numFmtId="43" fontId="2" fillId="0" borderId="0" xfId="0" applyNumberFormat="1" applyFont="1"/>
  </cellXfs>
  <cellStyles count="3">
    <cellStyle name="Normal" xfId="0" builtinId="0"/>
    <cellStyle name="Porcentagem" xfId="2" builtinId="5"/>
    <cellStyle name="Vírgula" xfId="1" builtinId="3"/>
  </cellStyles>
  <dxfs count="93">
    <dxf>
      <font>
        <b/>
      </font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(* #,##0.00_);_(* \(#,##0.00\);_(* &quot;-&quot;??_);_(@_)"/>
    </dxf>
    <dxf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54119</xdr:colOff>
      <xdr:row>1</xdr:row>
      <xdr:rowOff>33083</xdr:rowOff>
    </xdr:from>
    <xdr:to>
      <xdr:col>14</xdr:col>
      <xdr:colOff>1019735</xdr:colOff>
      <xdr:row>2</xdr:row>
      <xdr:rowOff>125362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A5247695-246C-4D94-9270-5E626B8788D6}"/>
            </a:ext>
          </a:extLst>
        </xdr:cNvPr>
        <xdr:cNvSpPr>
          <a:spLocks/>
        </xdr:cNvSpPr>
      </xdr:nvSpPr>
      <xdr:spPr bwMode="gray">
        <a:xfrm>
          <a:off x="320819" y="170243"/>
          <a:ext cx="14384436" cy="229439"/>
        </a:xfrm>
        <a:prstGeom prst="rect">
          <a:avLst/>
        </a:prstGeom>
        <a:solidFill>
          <a:srgbClr val="6F508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>
    <xdr:from>
      <xdr:col>1</xdr:col>
      <xdr:colOff>54118</xdr:colOff>
      <xdr:row>2</xdr:row>
      <xdr:rowOff>77872</xdr:rowOff>
    </xdr:from>
    <xdr:to>
      <xdr:col>14</xdr:col>
      <xdr:colOff>1019736</xdr:colOff>
      <xdr:row>3</xdr:row>
      <xdr:rowOff>122561</xdr:rowOff>
    </xdr:to>
    <xdr:sp macro="" textlink="">
      <xdr:nvSpPr>
        <xdr:cNvPr id="3" name="Rectangle 9">
          <a:extLst>
            <a:ext uri="{FF2B5EF4-FFF2-40B4-BE49-F238E27FC236}">
              <a16:creationId xmlns:a16="http://schemas.microsoft.com/office/drawing/2014/main" id="{8E7609A4-190C-43A7-8E9A-C050298F0CFC}"/>
            </a:ext>
          </a:extLst>
        </xdr:cNvPr>
        <xdr:cNvSpPr>
          <a:spLocks/>
        </xdr:cNvSpPr>
      </xdr:nvSpPr>
      <xdr:spPr bwMode="gray">
        <a:xfrm>
          <a:off x="320818" y="352192"/>
          <a:ext cx="14384438" cy="181849"/>
        </a:xfrm>
        <a:prstGeom prst="rect">
          <a:avLst/>
        </a:prstGeom>
        <a:solidFill>
          <a:srgbClr val="9B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>
    <xdr:from>
      <xdr:col>1</xdr:col>
      <xdr:colOff>54118</xdr:colOff>
      <xdr:row>3</xdr:row>
      <xdr:rowOff>112059</xdr:rowOff>
    </xdr:from>
    <xdr:to>
      <xdr:col>14</xdr:col>
      <xdr:colOff>1019736</xdr:colOff>
      <xdr:row>5</xdr:row>
      <xdr:rowOff>0</xdr:rowOff>
    </xdr:to>
    <xdr:sp macro="" textlink="">
      <xdr:nvSpPr>
        <xdr:cNvPr id="4" name="Rectangle 10">
          <a:extLst>
            <a:ext uri="{FF2B5EF4-FFF2-40B4-BE49-F238E27FC236}">
              <a16:creationId xmlns:a16="http://schemas.microsoft.com/office/drawing/2014/main" id="{36F98393-79AF-4D80-B7B2-F45733A13D9A}"/>
            </a:ext>
          </a:extLst>
        </xdr:cNvPr>
        <xdr:cNvSpPr>
          <a:spLocks/>
        </xdr:cNvSpPr>
      </xdr:nvSpPr>
      <xdr:spPr bwMode="gray">
        <a:xfrm>
          <a:off x="320818" y="523539"/>
          <a:ext cx="14384438" cy="162261"/>
        </a:xfrm>
        <a:prstGeom prst="rect">
          <a:avLst/>
        </a:prstGeom>
        <a:solidFill>
          <a:srgbClr val="BBADA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54119</xdr:colOff>
      <xdr:row>1</xdr:row>
      <xdr:rowOff>33083</xdr:rowOff>
    </xdr:from>
    <xdr:to>
      <xdr:col>14</xdr:col>
      <xdr:colOff>1019735</xdr:colOff>
      <xdr:row>2</xdr:row>
      <xdr:rowOff>125362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E3812C8E-0FB0-4D18-A8CA-F402CF436358}"/>
            </a:ext>
          </a:extLst>
        </xdr:cNvPr>
        <xdr:cNvSpPr>
          <a:spLocks/>
        </xdr:cNvSpPr>
      </xdr:nvSpPr>
      <xdr:spPr bwMode="gray">
        <a:xfrm>
          <a:off x="328439" y="170243"/>
          <a:ext cx="13515756" cy="229439"/>
        </a:xfrm>
        <a:prstGeom prst="rect">
          <a:avLst/>
        </a:prstGeom>
        <a:solidFill>
          <a:srgbClr val="6F508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>
    <xdr:from>
      <xdr:col>1</xdr:col>
      <xdr:colOff>54118</xdr:colOff>
      <xdr:row>2</xdr:row>
      <xdr:rowOff>77872</xdr:rowOff>
    </xdr:from>
    <xdr:to>
      <xdr:col>14</xdr:col>
      <xdr:colOff>1019736</xdr:colOff>
      <xdr:row>3</xdr:row>
      <xdr:rowOff>122561</xdr:rowOff>
    </xdr:to>
    <xdr:sp macro="" textlink="">
      <xdr:nvSpPr>
        <xdr:cNvPr id="3" name="Rectangle 9">
          <a:extLst>
            <a:ext uri="{FF2B5EF4-FFF2-40B4-BE49-F238E27FC236}">
              <a16:creationId xmlns:a16="http://schemas.microsoft.com/office/drawing/2014/main" id="{6B1B0D75-19FD-42D5-9B04-032CD5103BDF}"/>
            </a:ext>
          </a:extLst>
        </xdr:cNvPr>
        <xdr:cNvSpPr>
          <a:spLocks/>
        </xdr:cNvSpPr>
      </xdr:nvSpPr>
      <xdr:spPr bwMode="gray">
        <a:xfrm>
          <a:off x="328438" y="352192"/>
          <a:ext cx="13515758" cy="181849"/>
        </a:xfrm>
        <a:prstGeom prst="rect">
          <a:avLst/>
        </a:prstGeom>
        <a:solidFill>
          <a:srgbClr val="9B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>
    <xdr:from>
      <xdr:col>1</xdr:col>
      <xdr:colOff>54118</xdr:colOff>
      <xdr:row>3</xdr:row>
      <xdr:rowOff>112059</xdr:rowOff>
    </xdr:from>
    <xdr:to>
      <xdr:col>14</xdr:col>
      <xdr:colOff>1019736</xdr:colOff>
      <xdr:row>5</xdr:row>
      <xdr:rowOff>0</xdr:rowOff>
    </xdr:to>
    <xdr:sp macro="" textlink="">
      <xdr:nvSpPr>
        <xdr:cNvPr id="4" name="Rectangle 10">
          <a:extLst>
            <a:ext uri="{FF2B5EF4-FFF2-40B4-BE49-F238E27FC236}">
              <a16:creationId xmlns:a16="http://schemas.microsoft.com/office/drawing/2014/main" id="{D65F34C7-C724-4EFC-B9AC-1F76DC55FCA8}"/>
            </a:ext>
          </a:extLst>
        </xdr:cNvPr>
        <xdr:cNvSpPr>
          <a:spLocks/>
        </xdr:cNvSpPr>
      </xdr:nvSpPr>
      <xdr:spPr bwMode="gray">
        <a:xfrm>
          <a:off x="328438" y="523539"/>
          <a:ext cx="13515758" cy="162261"/>
        </a:xfrm>
        <a:prstGeom prst="rect">
          <a:avLst/>
        </a:prstGeom>
        <a:solidFill>
          <a:srgbClr val="BBADA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-IEsPYTP72f6QEygdUTSYc5Nii7qJKqv\4.%20Cont&#225;bil\2.%20Rotina\2026\02.%20DOC_SUPORTE\02.%20TRIBUT&#193;RIO_APURA&#199;&#213;ES\02.%20PIS_COFINS\05%20Maio\02_PACONT_QI_05.2026.xlsx" TargetMode="External"/><Relationship Id="rId1" Type="http://schemas.openxmlformats.org/officeDocument/2006/relationships/externalLinkPath" Target="file:///G:\.shortcut-targets-by-id\1-IEsPYTP72f6QEygdUTSYc5Nii7qJKqv\4.%20Cont&#225;bil\2.%20Rotina\2026\02.%20DOC_SUPORTE\02.%20TRIBUT&#193;RIO_APURA&#199;&#213;ES\02.%20PIS_COFINS\05%20Maio\02_PACONT_QI_05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6%20-%20PACONTs\PACONT%2007-2019\10%20-%20ESCOLAS%20INTEGRADAS\PACONT%20-%20QIED_07.2019%20-%20Somente%20S&#225;%20Perei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S"/>
      <sheetName val="FILIAL"/>
      <sheetName val="PACONT CUMULATIVO"/>
      <sheetName val="PACONT NÃO CUMULATIVO"/>
      <sheetName val="BALANCETE"/>
      <sheetName val="Pis-Cofins - Filial"/>
      <sheetName val="RETENCAO LEI 10833-2003"/>
      <sheetName val="Resumo"/>
      <sheetName val="Créditos Pis-Cofins mês "/>
      <sheetName val="Resumo - ISS"/>
      <sheetName val="Check Rateio Anuidades"/>
      <sheetName val="Check Rateio 1ª Cotas"/>
      <sheetName val="Variação - Cumulativo"/>
      <sheetName val="Variação - Não Cumulativo"/>
      <sheetName val="Base Outras Receitas"/>
      <sheetName val="Nota Carioca"/>
      <sheetName val="Notas Canceladas - Plan.Net"/>
      <sheetName val="Criterios - Serviços"/>
      <sheetName val="Lançar"/>
      <sheetName val="RATEIO"/>
      <sheetName val="Anuidades -Rateio"/>
      <sheetName val="Anuidades Emitidas"/>
      <sheetName val="1ª Cotas Emitidas"/>
      <sheetName val="BASE - ANUIDADES"/>
      <sheetName val="DESCRIÇÃO DAS  RECEITAS"/>
      <sheetName val="Desc Ativ Municipais"/>
      <sheetName val="Prints Athenas"/>
      <sheetName val="Notas Canceladas"/>
      <sheetName val="NFe_E_01638734_20181101_2018113"/>
      <sheetName val="Nota Carioc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S"/>
      <sheetName val="PACONT CUMULATIVO"/>
      <sheetName val="PACONT NÃO CUMULATIVO"/>
      <sheetName val="Pis-Cofins - Filial"/>
      <sheetName val="Resumo"/>
      <sheetName val="Base - Outras Receitas s NF"/>
      <sheetName val="Resumo - ISS"/>
      <sheetName val="Variação - Cumulativo"/>
      <sheetName val="Variação - Não Cumulativo"/>
      <sheetName val="Nota Carioca"/>
      <sheetName val="Criterios - Serviços"/>
      <sheetName val="BASE - ANUIDADES"/>
      <sheetName val="Desc Ativ Municipais"/>
      <sheetName val="Prints - Nota Carioca"/>
      <sheetName val="Plan2"/>
      <sheetName val="Plan1"/>
      <sheetName val="PACONT - QIED_07"/>
    </sheetNames>
    <sheetDataSet>
      <sheetData sheetId="0"/>
      <sheetData sheetId="1">
        <row r="12">
          <cell r="F12" t="str">
            <v>CUMULATIVO</v>
          </cell>
          <cell r="O12">
            <v>0</v>
          </cell>
        </row>
        <row r="13">
          <cell r="E13" t="str">
            <v>Vinculados à receita auferida no mercado interno e externo com base na proporção da receita bruta auferida</v>
          </cell>
          <cell r="M13">
            <v>43647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1F5E-A186-4D9E-BA57-4BF0481EC09D}">
  <sheetPr>
    <tabColor theme="3" tint="0.39997558519241921"/>
  </sheetPr>
  <dimension ref="A1:Q120"/>
  <sheetViews>
    <sheetView showGridLines="0" topLeftCell="A88" zoomScale="85" zoomScaleNormal="85" workbookViewId="0">
      <selection activeCell="A88" sqref="A1:XFD1048576"/>
    </sheetView>
  </sheetViews>
  <sheetFormatPr defaultColWidth="7.88671875" defaultRowHeight="18" customHeight="1"/>
  <cols>
    <col min="1" max="1" width="3.88671875" style="9" customWidth="1"/>
    <col min="2" max="2" width="13.33203125" style="13" customWidth="1"/>
    <col min="3" max="3" width="13.109375" style="13" customWidth="1"/>
    <col min="4" max="4" width="12.5546875" style="13" customWidth="1"/>
    <col min="5" max="6" width="15.6640625" style="13" customWidth="1"/>
    <col min="7" max="11" width="15.6640625" style="382" customWidth="1"/>
    <col min="12" max="15" width="15.6640625" style="13" customWidth="1"/>
    <col min="16" max="16" width="14.5546875" style="13" bestFit="1" customWidth="1"/>
    <col min="17" max="17" width="24.33203125" style="13" customWidth="1"/>
    <col min="18" max="16384" width="7.88671875" style="13"/>
  </cols>
  <sheetData>
    <row r="1" spans="1:16" s="2" customFormat="1" ht="11.25" customHeight="1">
      <c r="A1" s="1"/>
      <c r="D1" s="3"/>
      <c r="G1" s="4"/>
      <c r="H1" s="4"/>
      <c r="I1" s="4"/>
      <c r="L1" s="5"/>
      <c r="M1" s="5"/>
    </row>
    <row r="2" spans="1:16" s="2" customFormat="1" ht="11.25" customHeight="1">
      <c r="A2" s="1"/>
      <c r="D2" s="3"/>
      <c r="G2" s="4"/>
      <c r="H2" s="4"/>
      <c r="I2" s="4"/>
      <c r="L2" s="5"/>
      <c r="M2" s="5"/>
    </row>
    <row r="3" spans="1:16" s="2" customFormat="1" ht="11.25" customHeight="1">
      <c r="A3" s="1"/>
      <c r="D3" s="3"/>
      <c r="G3" s="4"/>
      <c r="H3" s="4"/>
      <c r="I3" s="4"/>
      <c r="L3" s="5"/>
      <c r="M3" s="5"/>
    </row>
    <row r="4" spans="1:16" s="2" customFormat="1" ht="11.25" customHeight="1">
      <c r="A4" s="1"/>
      <c r="D4" s="3"/>
      <c r="G4" s="4"/>
      <c r="H4" s="4"/>
      <c r="I4" s="4"/>
      <c r="L4" s="5"/>
      <c r="M4" s="5"/>
    </row>
    <row r="5" spans="1:16" s="2" customFormat="1" ht="11.25" customHeight="1">
      <c r="A5" s="1"/>
      <c r="D5" s="3"/>
      <c r="G5" s="4"/>
      <c r="H5" s="4"/>
      <c r="I5" s="4"/>
      <c r="L5" s="5"/>
      <c r="M5" s="5"/>
    </row>
    <row r="6" spans="1:16" s="2" customFormat="1" ht="11.25" customHeight="1">
      <c r="A6" s="1"/>
      <c r="D6" s="3"/>
      <c r="G6" s="4"/>
      <c r="H6" s="4"/>
      <c r="I6" s="4"/>
      <c r="L6" s="5"/>
      <c r="M6" s="5"/>
    </row>
    <row r="7" spans="1:16" s="2" customFormat="1" ht="30" customHeight="1">
      <c r="A7" s="1"/>
      <c r="B7" s="6" t="s"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 t="s">
        <v>1</v>
      </c>
      <c r="O7" s="8"/>
    </row>
    <row r="8" spans="1:16" ht="26.25" customHeight="1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0"/>
      <c r="N8" s="11" t="s">
        <v>2</v>
      </c>
      <c r="O8" s="12" t="s">
        <v>3</v>
      </c>
    </row>
    <row r="9" spans="1:16" ht="15" customHeight="1">
      <c r="B9" s="14" t="s">
        <v>4</v>
      </c>
      <c r="C9" s="15"/>
      <c r="D9" s="16" t="s">
        <v>5</v>
      </c>
      <c r="E9" s="17"/>
      <c r="F9" s="17"/>
      <c r="G9" s="17"/>
      <c r="H9" s="18" t="s">
        <v>6</v>
      </c>
      <c r="I9" s="17"/>
      <c r="J9" s="17"/>
      <c r="K9" s="17"/>
      <c r="L9" s="19"/>
      <c r="M9" s="20" t="s">
        <v>7</v>
      </c>
      <c r="N9" s="21"/>
      <c r="O9" s="22"/>
    </row>
    <row r="10" spans="1:16" ht="15" customHeight="1">
      <c r="B10" s="23"/>
      <c r="C10" s="24"/>
      <c r="D10" s="17"/>
      <c r="E10" s="17"/>
      <c r="F10" s="17"/>
      <c r="G10" s="17"/>
      <c r="H10" s="17"/>
      <c r="I10" s="17"/>
      <c r="J10" s="17"/>
      <c r="K10" s="17"/>
      <c r="L10" s="19"/>
      <c r="M10" s="25" t="s">
        <v>8</v>
      </c>
      <c r="N10" s="26">
        <v>46242.941479745372</v>
      </c>
      <c r="O10" s="27"/>
    </row>
    <row r="11" spans="1:16" ht="14.25" customHeight="1">
      <c r="B11" s="28" t="s">
        <v>9</v>
      </c>
      <c r="C11" s="29" t="s">
        <v>10</v>
      </c>
      <c r="D11" s="29"/>
      <c r="E11" s="29"/>
      <c r="F11" s="29"/>
      <c r="G11" s="29"/>
      <c r="H11" s="29"/>
      <c r="I11" s="29"/>
      <c r="J11" s="29"/>
      <c r="K11" s="29"/>
      <c r="L11" s="29"/>
      <c r="M11" s="30" t="s">
        <v>11</v>
      </c>
      <c r="N11" s="31">
        <v>0</v>
      </c>
      <c r="O11" s="32"/>
    </row>
    <row r="12" spans="1:16" s="42" customFormat="1" ht="14.25" customHeight="1">
      <c r="A12" s="33"/>
      <c r="B12" s="34" t="s">
        <v>12</v>
      </c>
      <c r="C12" s="35" t="s">
        <v>13</v>
      </c>
      <c r="D12" s="35"/>
      <c r="E12" s="36" t="s">
        <v>14</v>
      </c>
      <c r="F12" s="35" t="s">
        <v>15</v>
      </c>
      <c r="G12" s="35"/>
      <c r="H12" s="37"/>
      <c r="I12" s="38" t="s">
        <v>16</v>
      </c>
      <c r="J12" s="39" t="s">
        <v>17</v>
      </c>
      <c r="K12" s="40"/>
      <c r="L12" s="38" t="s">
        <v>18</v>
      </c>
      <c r="M12" s="39" t="s">
        <v>19</v>
      </c>
      <c r="N12" s="38" t="s">
        <v>20</v>
      </c>
      <c r="O12" s="41">
        <v>0</v>
      </c>
    </row>
    <row r="13" spans="1:16" s="42" customFormat="1" ht="14.25" customHeight="1" thickBot="1">
      <c r="A13" s="33"/>
      <c r="B13" s="43" t="s">
        <v>21</v>
      </c>
      <c r="C13" s="44"/>
      <c r="D13" s="45"/>
      <c r="E13" s="46" t="s">
        <v>22</v>
      </c>
      <c r="F13" s="46"/>
      <c r="G13" s="46"/>
      <c r="H13" s="46"/>
      <c r="I13" s="46"/>
      <c r="J13" s="46"/>
      <c r="K13" s="46"/>
      <c r="L13" s="47" t="s">
        <v>23</v>
      </c>
      <c r="M13" s="48">
        <v>46113</v>
      </c>
      <c r="N13" s="44" t="s">
        <v>24</v>
      </c>
      <c r="O13" s="49">
        <v>46242.941479745372</v>
      </c>
    </row>
    <row r="14" spans="1:16" s="42" customFormat="1" ht="2.25" customHeight="1" thickBot="1">
      <c r="A14" s="33"/>
      <c r="B14" s="50"/>
      <c r="C14" s="50"/>
      <c r="P14" s="51"/>
    </row>
    <row r="15" spans="1:16" s="42" customFormat="1" ht="20.100000000000001" customHeight="1" thickBot="1">
      <c r="A15" s="33"/>
      <c r="B15" s="52" t="s">
        <v>25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4"/>
    </row>
    <row r="16" spans="1:16" ht="2.25" customHeight="1" thickBot="1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</row>
    <row r="17" spans="1:17" s="37" customFormat="1" ht="20.100000000000001" customHeight="1" thickBot="1">
      <c r="A17" s="56"/>
      <c r="B17" s="57" t="s">
        <v>26</v>
      </c>
      <c r="C17" s="58"/>
      <c r="D17" s="58"/>
      <c r="E17" s="58"/>
      <c r="F17" s="58"/>
      <c r="G17" s="58"/>
      <c r="H17" s="59" t="s">
        <v>27</v>
      </c>
      <c r="I17" s="58"/>
      <c r="J17" s="60"/>
      <c r="K17" s="59" t="s">
        <v>28</v>
      </c>
      <c r="L17" s="58"/>
      <c r="M17" s="60"/>
      <c r="N17" s="58" t="s">
        <v>29</v>
      </c>
      <c r="O17" s="61"/>
    </row>
    <row r="18" spans="1:17" s="42" customFormat="1" ht="20.100000000000001" customHeight="1">
      <c r="A18" s="33"/>
      <c r="B18" s="62" t="s">
        <v>30</v>
      </c>
      <c r="C18" s="63"/>
      <c r="D18" s="64"/>
      <c r="E18" s="65" t="s">
        <v>31</v>
      </c>
      <c r="F18" s="66" t="s">
        <v>32</v>
      </c>
      <c r="G18" s="67" t="s">
        <v>33</v>
      </c>
      <c r="H18" s="68" t="s">
        <v>34</v>
      </c>
      <c r="I18" s="67" t="s">
        <v>35</v>
      </c>
      <c r="J18" s="69" t="s">
        <v>36</v>
      </c>
      <c r="K18" s="68" t="s">
        <v>37</v>
      </c>
      <c r="L18" s="66" t="s">
        <v>38</v>
      </c>
      <c r="M18" s="70" t="s">
        <v>39</v>
      </c>
      <c r="N18" s="71" t="s">
        <v>40</v>
      </c>
      <c r="O18" s="72" t="s">
        <v>41</v>
      </c>
      <c r="Q18" s="73"/>
    </row>
    <row r="19" spans="1:17" s="42" customFormat="1" ht="39.6">
      <c r="A19" s="33"/>
      <c r="B19" s="74"/>
      <c r="C19" s="75"/>
      <c r="D19" s="76"/>
      <c r="E19" s="77" t="s">
        <v>42</v>
      </c>
      <c r="F19" s="78" t="s">
        <v>43</v>
      </c>
      <c r="G19" s="79" t="s">
        <v>44</v>
      </c>
      <c r="H19" s="80" t="s">
        <v>45</v>
      </c>
      <c r="I19" s="78" t="s">
        <v>46</v>
      </c>
      <c r="J19" s="81" t="s">
        <v>47</v>
      </c>
      <c r="K19" s="82" t="s">
        <v>48</v>
      </c>
      <c r="L19" s="78" t="s">
        <v>49</v>
      </c>
      <c r="M19" s="83" t="s">
        <v>50</v>
      </c>
      <c r="N19" s="84" t="s">
        <v>51</v>
      </c>
      <c r="O19" s="85" t="s">
        <v>52</v>
      </c>
    </row>
    <row r="20" spans="1:17" s="42" customFormat="1" ht="14.25" customHeight="1" thickBot="1">
      <c r="A20" s="33"/>
      <c r="B20" s="86" t="s">
        <v>53</v>
      </c>
      <c r="C20" s="87"/>
      <c r="D20" s="88"/>
      <c r="E20" s="89">
        <v>0</v>
      </c>
      <c r="F20" s="90">
        <v>1</v>
      </c>
      <c r="G20" s="91">
        <v>1</v>
      </c>
      <c r="H20" s="92">
        <v>1</v>
      </c>
      <c r="I20" s="93">
        <v>0</v>
      </c>
      <c r="J20" s="94">
        <v>0</v>
      </c>
      <c r="K20" s="95"/>
      <c r="L20" s="96">
        <v>6.4999999999999997E-3</v>
      </c>
      <c r="M20" s="97">
        <v>0.03</v>
      </c>
      <c r="N20" s="98"/>
      <c r="O20" s="99">
        <v>0</v>
      </c>
    </row>
    <row r="21" spans="1:17" s="40" customFormat="1" ht="18" customHeight="1" thickBot="1">
      <c r="A21" s="100"/>
      <c r="B21" s="101" t="s">
        <v>54</v>
      </c>
      <c r="C21" s="102"/>
      <c r="D21" s="103"/>
      <c r="E21" s="104">
        <v>0</v>
      </c>
      <c r="F21" s="105">
        <v>6588479.0899999393</v>
      </c>
      <c r="G21" s="106">
        <v>6588479.0899999393</v>
      </c>
      <c r="H21" s="107">
        <v>6588479.0899999393</v>
      </c>
      <c r="I21" s="105">
        <v>0</v>
      </c>
      <c r="J21" s="108">
        <v>0</v>
      </c>
      <c r="K21" s="109">
        <v>6588479.0899999393</v>
      </c>
      <c r="L21" s="105">
        <v>42825.114084999608</v>
      </c>
      <c r="M21" s="108">
        <v>197654.37269999817</v>
      </c>
      <c r="N21" s="104">
        <v>0</v>
      </c>
      <c r="O21" s="110">
        <v>0</v>
      </c>
    </row>
    <row r="22" spans="1:17" s="42" customFormat="1" ht="15" customHeight="1">
      <c r="A22" s="33" t="s">
        <v>55</v>
      </c>
      <c r="B22" s="111" t="s">
        <v>55</v>
      </c>
      <c r="C22" s="112"/>
      <c r="D22" s="113"/>
      <c r="E22" s="114">
        <v>0</v>
      </c>
      <c r="F22" s="115">
        <v>6340930.0099999392</v>
      </c>
      <c r="G22" s="116">
        <v>6340930.0099999392</v>
      </c>
      <c r="H22" s="114">
        <v>6340930.0099999392</v>
      </c>
      <c r="I22" s="115">
        <v>0</v>
      </c>
      <c r="J22" s="114">
        <v>0</v>
      </c>
      <c r="K22" s="117">
        <v>6340930.0099999392</v>
      </c>
      <c r="L22" s="118">
        <v>41216.045064999606</v>
      </c>
      <c r="M22" s="118">
        <v>190227.90029999817</v>
      </c>
      <c r="N22" s="119">
        <v>0</v>
      </c>
      <c r="O22" s="120">
        <v>0</v>
      </c>
      <c r="P22" s="73"/>
      <c r="Q22" s="121" t="s">
        <v>56</v>
      </c>
    </row>
    <row r="23" spans="1:17" s="42" customFormat="1" ht="15" customHeight="1">
      <c r="A23" s="33" t="s">
        <v>57</v>
      </c>
      <c r="B23" s="122" t="s">
        <v>58</v>
      </c>
      <c r="C23" s="123"/>
      <c r="D23" s="124"/>
      <c r="E23" s="114">
        <v>0</v>
      </c>
      <c r="F23" s="125">
        <v>247549.08</v>
      </c>
      <c r="G23" s="126">
        <v>247549.08</v>
      </c>
      <c r="H23" s="127">
        <v>247549.08</v>
      </c>
      <c r="I23" s="115">
        <v>0</v>
      </c>
      <c r="J23" s="128">
        <v>0</v>
      </c>
      <c r="K23" s="117">
        <v>247549.08</v>
      </c>
      <c r="L23" s="118">
        <v>1609.0690199999999</v>
      </c>
      <c r="M23" s="118">
        <v>7426.4723999999997</v>
      </c>
      <c r="N23" s="119">
        <v>0</v>
      </c>
      <c r="O23" s="120">
        <v>0</v>
      </c>
    </row>
    <row r="24" spans="1:17" s="42" customFormat="1" ht="15" customHeight="1">
      <c r="A24" s="33" t="s">
        <v>59</v>
      </c>
      <c r="B24" s="122" t="s">
        <v>59</v>
      </c>
      <c r="C24" s="123"/>
      <c r="D24" s="124"/>
      <c r="E24" s="114">
        <v>0</v>
      </c>
      <c r="F24" s="125">
        <v>0</v>
      </c>
      <c r="G24" s="126">
        <v>0</v>
      </c>
      <c r="H24" s="129">
        <v>0</v>
      </c>
      <c r="I24" s="115">
        <v>0</v>
      </c>
      <c r="J24" s="128">
        <v>0</v>
      </c>
      <c r="K24" s="130">
        <v>0</v>
      </c>
      <c r="L24" s="118">
        <v>0</v>
      </c>
      <c r="M24" s="118">
        <v>0</v>
      </c>
      <c r="N24" s="119">
        <v>0</v>
      </c>
      <c r="O24" s="120">
        <v>0</v>
      </c>
    </row>
    <row r="25" spans="1:17" s="42" customFormat="1" ht="15" customHeight="1">
      <c r="A25" s="33" t="s">
        <v>60</v>
      </c>
      <c r="B25" s="131" t="s">
        <v>61</v>
      </c>
      <c r="C25" s="132"/>
      <c r="D25" s="133"/>
      <c r="E25" s="114">
        <v>0</v>
      </c>
      <c r="F25" s="115">
        <v>0</v>
      </c>
      <c r="G25" s="126">
        <v>0</v>
      </c>
      <c r="H25" s="127">
        <v>0</v>
      </c>
      <c r="I25" s="115">
        <v>0</v>
      </c>
      <c r="J25" s="128">
        <v>0</v>
      </c>
      <c r="K25" s="130">
        <v>0</v>
      </c>
      <c r="L25" s="118">
        <v>0</v>
      </c>
      <c r="M25" s="118">
        <v>0</v>
      </c>
      <c r="N25" s="119">
        <v>0</v>
      </c>
      <c r="O25" s="120">
        <v>0</v>
      </c>
    </row>
    <row r="26" spans="1:17" s="42" customFormat="1" ht="15" customHeight="1" thickBot="1">
      <c r="A26" s="33" t="s">
        <v>62</v>
      </c>
      <c r="B26" s="131" t="s">
        <v>63</v>
      </c>
      <c r="C26" s="132"/>
      <c r="D26" s="133"/>
      <c r="E26" s="114">
        <v>0</v>
      </c>
      <c r="F26" s="115">
        <v>0</v>
      </c>
      <c r="G26" s="126">
        <v>0</v>
      </c>
      <c r="H26" s="127">
        <v>0</v>
      </c>
      <c r="I26" s="115">
        <v>0</v>
      </c>
      <c r="J26" s="128">
        <v>0</v>
      </c>
      <c r="K26" s="130">
        <v>0</v>
      </c>
      <c r="L26" s="118">
        <v>0</v>
      </c>
      <c r="M26" s="118">
        <v>0</v>
      </c>
      <c r="N26" s="119">
        <v>0</v>
      </c>
      <c r="O26" s="120">
        <v>0</v>
      </c>
    </row>
    <row r="27" spans="1:17" s="100" customFormat="1" ht="18" customHeight="1" thickBot="1">
      <c r="A27" s="100" t="s">
        <v>64</v>
      </c>
      <c r="B27" s="101" t="s">
        <v>64</v>
      </c>
      <c r="C27" s="102"/>
      <c r="D27" s="103"/>
      <c r="E27" s="134">
        <v>0</v>
      </c>
      <c r="F27" s="105">
        <v>-3325083.2499999902</v>
      </c>
      <c r="G27" s="134">
        <v>-3325083.2499999902</v>
      </c>
      <c r="H27" s="107">
        <v>0</v>
      </c>
      <c r="I27" s="105">
        <v>0</v>
      </c>
      <c r="J27" s="108">
        <v>0</v>
      </c>
      <c r="K27" s="109">
        <v>-3325083.2499999902</v>
      </c>
      <c r="L27" s="105">
        <v>-21613.041124999934</v>
      </c>
      <c r="M27" s="108">
        <v>-99752.497499999707</v>
      </c>
      <c r="N27" s="104">
        <v>0</v>
      </c>
      <c r="O27" s="110">
        <v>0</v>
      </c>
    </row>
    <row r="28" spans="1:17" s="42" customFormat="1" ht="15" customHeight="1">
      <c r="A28" s="33" t="s">
        <v>65</v>
      </c>
      <c r="B28" s="111" t="s">
        <v>65</v>
      </c>
      <c r="C28" s="112"/>
      <c r="D28" s="113"/>
      <c r="E28" s="135">
        <v>0</v>
      </c>
      <c r="F28" s="136">
        <v>-7858.92</v>
      </c>
      <c r="G28" s="126">
        <v>-7858.92</v>
      </c>
      <c r="H28" s="127">
        <v>0</v>
      </c>
      <c r="I28" s="115">
        <v>0</v>
      </c>
      <c r="J28" s="128">
        <v>0</v>
      </c>
      <c r="K28" s="117">
        <v>-7858.92</v>
      </c>
      <c r="L28" s="118">
        <v>-51.082979999999999</v>
      </c>
      <c r="M28" s="118">
        <v>-235.76759999999999</v>
      </c>
      <c r="N28" s="137">
        <v>0</v>
      </c>
      <c r="O28" s="120">
        <v>0</v>
      </c>
    </row>
    <row r="29" spans="1:17" s="42" customFormat="1" ht="15" customHeight="1">
      <c r="A29" s="33" t="s">
        <v>66</v>
      </c>
      <c r="B29" s="122" t="s">
        <v>66</v>
      </c>
      <c r="C29" s="123"/>
      <c r="D29" s="124"/>
      <c r="E29" s="138">
        <v>0</v>
      </c>
      <c r="F29" s="125">
        <v>0</v>
      </c>
      <c r="G29" s="126">
        <v>0</v>
      </c>
      <c r="H29" s="139">
        <v>0</v>
      </c>
      <c r="I29" s="125">
        <v>0</v>
      </c>
      <c r="J29" s="140">
        <v>0</v>
      </c>
      <c r="K29" s="117">
        <v>0</v>
      </c>
      <c r="L29" s="118">
        <v>0</v>
      </c>
      <c r="M29" s="118">
        <v>0</v>
      </c>
      <c r="N29" s="137">
        <v>0</v>
      </c>
      <c r="O29" s="120">
        <v>0</v>
      </c>
      <c r="Q29" s="42" t="s">
        <v>67</v>
      </c>
    </row>
    <row r="30" spans="1:17" s="42" customFormat="1" ht="15" customHeight="1">
      <c r="A30" s="33" t="s">
        <v>68</v>
      </c>
      <c r="B30" s="122" t="s">
        <v>68</v>
      </c>
      <c r="C30" s="123"/>
      <c r="D30" s="124"/>
      <c r="E30" s="138">
        <v>0</v>
      </c>
      <c r="F30" s="125">
        <v>0</v>
      </c>
      <c r="G30" s="126">
        <v>0</v>
      </c>
      <c r="H30" s="139">
        <v>0</v>
      </c>
      <c r="I30" s="125">
        <v>0</v>
      </c>
      <c r="J30" s="140">
        <v>0</v>
      </c>
      <c r="K30" s="117">
        <v>0</v>
      </c>
      <c r="L30" s="118">
        <v>0</v>
      </c>
      <c r="M30" s="118">
        <v>0</v>
      </c>
      <c r="N30" s="137">
        <v>0</v>
      </c>
      <c r="O30" s="120">
        <v>0</v>
      </c>
    </row>
    <row r="31" spans="1:17" s="42" customFormat="1" ht="15" customHeight="1">
      <c r="A31" s="33" t="s">
        <v>69</v>
      </c>
      <c r="B31" s="122" t="s">
        <v>69</v>
      </c>
      <c r="C31" s="123"/>
      <c r="D31" s="124"/>
      <c r="E31" s="138">
        <v>0</v>
      </c>
      <c r="F31" s="141">
        <v>-3317224.3299999903</v>
      </c>
      <c r="G31" s="126">
        <v>-3317224.3299999903</v>
      </c>
      <c r="H31" s="139">
        <v>0</v>
      </c>
      <c r="I31" s="125">
        <v>0</v>
      </c>
      <c r="J31" s="140">
        <v>0</v>
      </c>
      <c r="K31" s="117">
        <v>-3317224.3299999903</v>
      </c>
      <c r="L31" s="118">
        <v>-21561.958144999935</v>
      </c>
      <c r="M31" s="118">
        <v>-99516.7298999997</v>
      </c>
      <c r="N31" s="137">
        <v>0</v>
      </c>
      <c r="O31" s="120">
        <v>0</v>
      </c>
    </row>
    <row r="32" spans="1:17" s="42" customFormat="1" ht="15" customHeight="1">
      <c r="A32" s="33" t="s">
        <v>70</v>
      </c>
      <c r="B32" s="142" t="s">
        <v>70</v>
      </c>
      <c r="C32" s="143"/>
      <c r="D32" s="144"/>
      <c r="E32" s="138">
        <v>0</v>
      </c>
      <c r="F32" s="125">
        <v>0</v>
      </c>
      <c r="G32" s="126">
        <v>0</v>
      </c>
      <c r="H32" s="139">
        <v>0</v>
      </c>
      <c r="I32" s="125">
        <v>0</v>
      </c>
      <c r="J32" s="140">
        <v>0</v>
      </c>
      <c r="K32" s="117">
        <v>0</v>
      </c>
      <c r="L32" s="118">
        <v>0</v>
      </c>
      <c r="M32" s="118">
        <v>0</v>
      </c>
      <c r="N32" s="137">
        <v>0</v>
      </c>
      <c r="O32" s="120">
        <v>0</v>
      </c>
    </row>
    <row r="33" spans="1:15" s="42" customFormat="1" ht="15" customHeight="1" thickBot="1">
      <c r="A33" s="33" t="s">
        <v>71</v>
      </c>
      <c r="B33" s="145" t="s">
        <v>71</v>
      </c>
      <c r="C33" s="146"/>
      <c r="D33" s="147"/>
      <c r="E33" s="148">
        <v>0</v>
      </c>
      <c r="F33" s="149">
        <v>0</v>
      </c>
      <c r="G33" s="126">
        <v>0</v>
      </c>
      <c r="H33" s="150">
        <v>0</v>
      </c>
      <c r="I33" s="151">
        <v>0</v>
      </c>
      <c r="J33" s="152">
        <v>0</v>
      </c>
      <c r="K33" s="153">
        <v>0</v>
      </c>
      <c r="L33" s="154">
        <v>0</v>
      </c>
      <c r="M33" s="154">
        <v>0</v>
      </c>
      <c r="N33" s="137">
        <v>0</v>
      </c>
      <c r="O33" s="120">
        <v>0</v>
      </c>
    </row>
    <row r="34" spans="1:15" s="100" customFormat="1" ht="18" customHeight="1" thickBot="1">
      <c r="A34" s="100" t="s">
        <v>72</v>
      </c>
      <c r="B34" s="101" t="s">
        <v>72</v>
      </c>
      <c r="C34" s="102"/>
      <c r="D34" s="103"/>
      <c r="E34" s="134">
        <v>0</v>
      </c>
      <c r="F34" s="105">
        <v>0</v>
      </c>
      <c r="G34" s="134">
        <v>0</v>
      </c>
      <c r="H34" s="107">
        <v>0</v>
      </c>
      <c r="I34" s="105">
        <v>0</v>
      </c>
      <c r="J34" s="108">
        <v>0</v>
      </c>
      <c r="K34" s="109">
        <v>0</v>
      </c>
      <c r="L34" s="105">
        <v>0</v>
      </c>
      <c r="M34" s="155">
        <v>0</v>
      </c>
      <c r="N34" s="104">
        <v>0</v>
      </c>
      <c r="O34" s="110">
        <v>0</v>
      </c>
    </row>
    <row r="35" spans="1:15" s="42" customFormat="1" ht="15" customHeight="1">
      <c r="A35" s="33" t="s">
        <v>73</v>
      </c>
      <c r="B35" s="156" t="s">
        <v>73</v>
      </c>
      <c r="C35" s="157"/>
      <c r="D35" s="158"/>
      <c r="E35" s="159">
        <v>0</v>
      </c>
      <c r="F35" s="125">
        <v>0</v>
      </c>
      <c r="G35" s="126">
        <v>0</v>
      </c>
      <c r="H35" s="160">
        <v>0</v>
      </c>
      <c r="I35" s="161">
        <v>0</v>
      </c>
      <c r="J35" s="162">
        <v>0</v>
      </c>
      <c r="K35" s="163">
        <v>0</v>
      </c>
      <c r="L35" s="154">
        <v>0</v>
      </c>
      <c r="M35" s="164">
        <v>0</v>
      </c>
      <c r="N35" s="165">
        <v>0</v>
      </c>
      <c r="O35" s="166">
        <v>0</v>
      </c>
    </row>
    <row r="36" spans="1:15" s="42" customFormat="1" ht="15" customHeight="1">
      <c r="A36" s="33" t="s">
        <v>74</v>
      </c>
      <c r="B36" s="156" t="s">
        <v>74</v>
      </c>
      <c r="C36" s="157"/>
      <c r="D36" s="158"/>
      <c r="E36" s="159">
        <v>0</v>
      </c>
      <c r="F36" s="115">
        <v>0</v>
      </c>
      <c r="G36" s="126">
        <v>0</v>
      </c>
      <c r="H36" s="160">
        <v>0</v>
      </c>
      <c r="I36" s="161">
        <v>0</v>
      </c>
      <c r="J36" s="162">
        <v>0</v>
      </c>
      <c r="K36" s="163">
        <v>0</v>
      </c>
      <c r="L36" s="154">
        <v>0</v>
      </c>
      <c r="M36" s="164">
        <v>0</v>
      </c>
      <c r="N36" s="165">
        <v>0</v>
      </c>
      <c r="O36" s="166">
        <v>0</v>
      </c>
    </row>
    <row r="37" spans="1:15" s="42" customFormat="1" ht="15" customHeight="1" thickBot="1">
      <c r="A37" s="33" t="s">
        <v>75</v>
      </c>
      <c r="B37" s="167" t="s">
        <v>76</v>
      </c>
      <c r="C37" s="168"/>
      <c r="D37" s="169"/>
      <c r="E37" s="159">
        <v>0</v>
      </c>
      <c r="F37" s="125">
        <v>0</v>
      </c>
      <c r="G37" s="126">
        <v>0</v>
      </c>
      <c r="H37" s="160">
        <v>0</v>
      </c>
      <c r="I37" s="161">
        <v>0</v>
      </c>
      <c r="J37" s="162">
        <v>0</v>
      </c>
      <c r="K37" s="163">
        <v>0</v>
      </c>
      <c r="L37" s="154">
        <v>0</v>
      </c>
      <c r="M37" s="164">
        <v>0</v>
      </c>
      <c r="N37" s="165">
        <v>0</v>
      </c>
      <c r="O37" s="166">
        <v>0</v>
      </c>
    </row>
    <row r="38" spans="1:15" s="40" customFormat="1" ht="18" customHeight="1" thickBot="1">
      <c r="A38" s="100" t="s">
        <v>77</v>
      </c>
      <c r="B38" s="170" t="s">
        <v>77</v>
      </c>
      <c r="C38" s="171"/>
      <c r="D38" s="172"/>
      <c r="E38" s="134">
        <v>0</v>
      </c>
      <c r="F38" s="105">
        <v>0</v>
      </c>
      <c r="G38" s="134">
        <v>0</v>
      </c>
      <c r="H38" s="107">
        <v>0</v>
      </c>
      <c r="I38" s="105">
        <v>0</v>
      </c>
      <c r="J38" s="108">
        <v>0</v>
      </c>
      <c r="K38" s="109">
        <v>0</v>
      </c>
      <c r="L38" s="105">
        <v>0</v>
      </c>
      <c r="M38" s="108">
        <v>0</v>
      </c>
      <c r="N38" s="104">
        <v>0</v>
      </c>
      <c r="O38" s="110">
        <v>0</v>
      </c>
    </row>
    <row r="39" spans="1:15" s="42" customFormat="1" ht="15" customHeight="1">
      <c r="A39" s="33" t="s">
        <v>78</v>
      </c>
      <c r="B39" s="111" t="s">
        <v>78</v>
      </c>
      <c r="C39" s="112"/>
      <c r="D39" s="113"/>
      <c r="E39" s="159">
        <v>0</v>
      </c>
      <c r="F39" s="173">
        <v>0</v>
      </c>
      <c r="G39" s="126">
        <v>0</v>
      </c>
      <c r="H39" s="174">
        <v>0</v>
      </c>
      <c r="I39" s="175">
        <v>0</v>
      </c>
      <c r="J39" s="176">
        <v>0</v>
      </c>
      <c r="K39" s="177">
        <v>0</v>
      </c>
      <c r="L39" s="178">
        <v>0</v>
      </c>
      <c r="M39" s="179">
        <v>0</v>
      </c>
      <c r="N39" s="180">
        <v>0</v>
      </c>
      <c r="O39" s="181">
        <v>0</v>
      </c>
    </row>
    <row r="40" spans="1:15" s="42" customFormat="1" ht="15" customHeight="1" thickBot="1">
      <c r="A40" s="33" t="s">
        <v>79</v>
      </c>
      <c r="B40" s="182" t="s">
        <v>79</v>
      </c>
      <c r="C40" s="183"/>
      <c r="D40" s="184"/>
      <c r="E40" s="159">
        <v>0</v>
      </c>
      <c r="F40" s="185">
        <v>0</v>
      </c>
      <c r="G40" s="126">
        <v>0</v>
      </c>
      <c r="H40" s="174">
        <v>0</v>
      </c>
      <c r="I40" s="186">
        <v>0</v>
      </c>
      <c r="J40" s="187">
        <v>0</v>
      </c>
      <c r="K40" s="177">
        <v>0</v>
      </c>
      <c r="L40" s="188">
        <v>0</v>
      </c>
      <c r="M40" s="189">
        <v>0</v>
      </c>
      <c r="N40" s="180">
        <v>0</v>
      </c>
      <c r="O40" s="181">
        <v>0</v>
      </c>
    </row>
    <row r="41" spans="1:15" s="42" customFormat="1" ht="18" customHeight="1" thickBot="1">
      <c r="A41" s="33" t="s">
        <v>80</v>
      </c>
      <c r="B41" s="101" t="s">
        <v>80</v>
      </c>
      <c r="C41" s="102"/>
      <c r="D41" s="103"/>
      <c r="E41" s="134">
        <v>0</v>
      </c>
      <c r="F41" s="105">
        <v>3263395.8399999491</v>
      </c>
      <c r="G41" s="134">
        <v>3263395.8399999491</v>
      </c>
      <c r="H41" s="107">
        <v>6588479.0899999393</v>
      </c>
      <c r="I41" s="105">
        <v>0</v>
      </c>
      <c r="J41" s="108">
        <v>0</v>
      </c>
      <c r="K41" s="109">
        <v>3263395.8399999491</v>
      </c>
      <c r="L41" s="105">
        <v>21212.072959999674</v>
      </c>
      <c r="M41" s="155">
        <v>97901.875199998467</v>
      </c>
      <c r="N41" s="104">
        <v>0</v>
      </c>
      <c r="O41" s="110">
        <v>0</v>
      </c>
    </row>
    <row r="42" spans="1:15" s="42" customFormat="1" ht="3" customHeight="1" thickBot="1">
      <c r="A42" s="33"/>
      <c r="B42" s="190"/>
      <c r="C42" s="190"/>
      <c r="D42" s="55"/>
      <c r="E42" s="191"/>
      <c r="F42" s="191"/>
      <c r="G42" s="192"/>
      <c r="H42" s="193"/>
      <c r="I42" s="192"/>
      <c r="J42" s="194"/>
      <c r="K42" s="193"/>
      <c r="L42" s="192"/>
      <c r="M42" s="194"/>
      <c r="N42" s="192"/>
      <c r="O42" s="192"/>
    </row>
    <row r="43" spans="1:15" s="42" customFormat="1" ht="18" customHeight="1" thickBot="1">
      <c r="A43" s="33" t="s">
        <v>81</v>
      </c>
      <c r="B43" s="101" t="s">
        <v>81</v>
      </c>
      <c r="C43" s="102"/>
      <c r="D43" s="102"/>
      <c r="E43" s="195">
        <v>0</v>
      </c>
      <c r="F43" s="106">
        <v>0</v>
      </c>
      <c r="G43" s="106">
        <v>0</v>
      </c>
      <c r="H43" s="107">
        <v>0</v>
      </c>
      <c r="I43" s="106">
        <v>0</v>
      </c>
      <c r="J43" s="108">
        <v>0</v>
      </c>
      <c r="K43" s="107">
        <v>0</v>
      </c>
      <c r="L43" s="196">
        <v>0</v>
      </c>
      <c r="M43" s="197">
        <v>0</v>
      </c>
      <c r="N43" s="198">
        <v>0</v>
      </c>
      <c r="O43" s="199">
        <v>0</v>
      </c>
    </row>
    <row r="44" spans="1:15" s="42" customFormat="1" ht="15" customHeight="1">
      <c r="A44" s="33" t="s">
        <v>82</v>
      </c>
      <c r="B44" s="111" t="s">
        <v>82</v>
      </c>
      <c r="C44" s="112"/>
      <c r="D44" s="112"/>
      <c r="E44" s="200">
        <v>0</v>
      </c>
      <c r="F44" s="201">
        <v>0</v>
      </c>
      <c r="G44" s="126">
        <v>0</v>
      </c>
      <c r="H44" s="202">
        <v>0</v>
      </c>
      <c r="I44" s="203">
        <v>0</v>
      </c>
      <c r="J44" s="162">
        <v>0</v>
      </c>
      <c r="K44" s="204">
        <v>0</v>
      </c>
      <c r="L44" s="205">
        <v>0</v>
      </c>
      <c r="M44" s="204">
        <v>0</v>
      </c>
      <c r="N44" s="202">
        <v>0</v>
      </c>
      <c r="O44" s="181">
        <v>0</v>
      </c>
    </row>
    <row r="45" spans="1:15" s="42" customFormat="1" ht="15" customHeight="1">
      <c r="A45" s="33" t="s">
        <v>83</v>
      </c>
      <c r="B45" s="111" t="s">
        <v>83</v>
      </c>
      <c r="C45" s="112"/>
      <c r="D45" s="112"/>
      <c r="E45" s="200">
        <v>0</v>
      </c>
      <c r="F45" s="185">
        <v>0</v>
      </c>
      <c r="G45" s="126">
        <v>0</v>
      </c>
      <c r="H45" s="160">
        <v>0</v>
      </c>
      <c r="I45" s="203">
        <v>0</v>
      </c>
      <c r="J45" s="162">
        <v>0</v>
      </c>
      <c r="K45" s="204">
        <v>0</v>
      </c>
      <c r="L45" s="205">
        <v>0</v>
      </c>
      <c r="M45" s="204">
        <v>0</v>
      </c>
      <c r="N45" s="206">
        <v>0</v>
      </c>
      <c r="O45" s="181">
        <v>0</v>
      </c>
    </row>
    <row r="46" spans="1:15" s="42" customFormat="1" ht="15" customHeight="1">
      <c r="A46" s="33" t="s">
        <v>84</v>
      </c>
      <c r="B46" s="111" t="s">
        <v>84</v>
      </c>
      <c r="C46" s="112"/>
      <c r="D46" s="112"/>
      <c r="E46" s="200">
        <v>0</v>
      </c>
      <c r="F46" s="185">
        <v>0</v>
      </c>
      <c r="G46" s="126">
        <v>0</v>
      </c>
      <c r="H46" s="160">
        <v>0</v>
      </c>
      <c r="I46" s="203">
        <v>0</v>
      </c>
      <c r="J46" s="162">
        <v>0</v>
      </c>
      <c r="K46" s="204">
        <v>0</v>
      </c>
      <c r="L46" s="205">
        <v>0</v>
      </c>
      <c r="M46" s="204">
        <v>0</v>
      </c>
      <c r="N46" s="206">
        <v>0</v>
      </c>
      <c r="O46" s="181">
        <v>0</v>
      </c>
    </row>
    <row r="47" spans="1:15" s="42" customFormat="1" ht="15" customHeight="1">
      <c r="A47" s="33" t="s">
        <v>85</v>
      </c>
      <c r="B47" s="111" t="s">
        <v>85</v>
      </c>
      <c r="C47" s="112"/>
      <c r="D47" s="112"/>
      <c r="E47" s="200">
        <v>0</v>
      </c>
      <c r="F47" s="185">
        <v>0</v>
      </c>
      <c r="G47" s="126">
        <v>0</v>
      </c>
      <c r="H47" s="160">
        <v>0</v>
      </c>
      <c r="I47" s="203">
        <v>0</v>
      </c>
      <c r="J47" s="162">
        <v>0</v>
      </c>
      <c r="K47" s="204">
        <v>0</v>
      </c>
      <c r="L47" s="205">
        <v>0</v>
      </c>
      <c r="M47" s="204">
        <v>0</v>
      </c>
      <c r="N47" s="206">
        <v>0</v>
      </c>
      <c r="O47" s="181">
        <v>0</v>
      </c>
    </row>
    <row r="48" spans="1:15" s="42" customFormat="1" ht="15" customHeight="1">
      <c r="A48" s="33" t="s">
        <v>86</v>
      </c>
      <c r="B48" s="111" t="s">
        <v>86</v>
      </c>
      <c r="C48" s="112"/>
      <c r="D48" s="112"/>
      <c r="E48" s="200">
        <v>0</v>
      </c>
      <c r="F48" s="185">
        <v>0</v>
      </c>
      <c r="G48" s="126">
        <v>0</v>
      </c>
      <c r="H48" s="160">
        <v>0</v>
      </c>
      <c r="I48" s="203">
        <v>0</v>
      </c>
      <c r="J48" s="162">
        <v>0</v>
      </c>
      <c r="K48" s="204">
        <v>0</v>
      </c>
      <c r="L48" s="205">
        <v>0</v>
      </c>
      <c r="M48" s="204">
        <v>0</v>
      </c>
      <c r="N48" s="206">
        <v>0</v>
      </c>
      <c r="O48" s="181">
        <v>0</v>
      </c>
    </row>
    <row r="49" spans="1:16" s="42" customFormat="1" ht="15" customHeight="1">
      <c r="A49" s="33" t="s">
        <v>87</v>
      </c>
      <c r="B49" s="111" t="s">
        <v>87</v>
      </c>
      <c r="C49" s="112"/>
      <c r="D49" s="112"/>
      <c r="E49" s="200">
        <v>0</v>
      </c>
      <c r="F49" s="185">
        <v>0</v>
      </c>
      <c r="G49" s="126">
        <v>0</v>
      </c>
      <c r="H49" s="160">
        <v>0</v>
      </c>
      <c r="I49" s="203">
        <v>0</v>
      </c>
      <c r="J49" s="162">
        <v>0</v>
      </c>
      <c r="K49" s="204">
        <v>0</v>
      </c>
      <c r="L49" s="205">
        <v>0</v>
      </c>
      <c r="M49" s="204">
        <v>0</v>
      </c>
      <c r="N49" s="206">
        <v>0</v>
      </c>
      <c r="O49" s="181">
        <v>0</v>
      </c>
    </row>
    <row r="50" spans="1:16" s="42" customFormat="1" ht="15" customHeight="1">
      <c r="A50" s="33" t="s">
        <v>88</v>
      </c>
      <c r="B50" s="111" t="s">
        <v>88</v>
      </c>
      <c r="C50" s="112"/>
      <c r="D50" s="112"/>
      <c r="E50" s="200">
        <v>0</v>
      </c>
      <c r="F50" s="185"/>
      <c r="G50" s="126">
        <v>0</v>
      </c>
      <c r="H50" s="160">
        <v>0</v>
      </c>
      <c r="I50" s="203">
        <v>0</v>
      </c>
      <c r="J50" s="162">
        <v>0</v>
      </c>
      <c r="K50" s="204">
        <v>0</v>
      </c>
      <c r="L50" s="205">
        <v>0</v>
      </c>
      <c r="M50" s="204">
        <v>0</v>
      </c>
      <c r="N50" s="206">
        <v>0</v>
      </c>
      <c r="O50" s="181">
        <v>0</v>
      </c>
    </row>
    <row r="51" spans="1:16" s="42" customFormat="1" ht="15" customHeight="1">
      <c r="A51" s="33" t="s">
        <v>89</v>
      </c>
      <c r="B51" s="111" t="s">
        <v>89</v>
      </c>
      <c r="C51" s="112"/>
      <c r="D51" s="112"/>
      <c r="E51" s="200">
        <v>0</v>
      </c>
      <c r="F51" s="185">
        <v>0</v>
      </c>
      <c r="G51" s="126">
        <v>0</v>
      </c>
      <c r="H51" s="160">
        <v>0</v>
      </c>
      <c r="I51" s="203">
        <v>0</v>
      </c>
      <c r="J51" s="162">
        <v>0</v>
      </c>
      <c r="K51" s="204">
        <v>0</v>
      </c>
      <c r="L51" s="205">
        <v>0</v>
      </c>
      <c r="M51" s="204">
        <v>0</v>
      </c>
      <c r="N51" s="206">
        <v>0</v>
      </c>
      <c r="O51" s="181">
        <v>0</v>
      </c>
    </row>
    <row r="52" spans="1:16" s="42" customFormat="1" ht="15" customHeight="1" thickBot="1">
      <c r="A52" s="33" t="s">
        <v>90</v>
      </c>
      <c r="B52" s="207" t="s">
        <v>91</v>
      </c>
      <c r="C52" s="208"/>
      <c r="D52" s="208"/>
      <c r="E52" s="200">
        <v>0</v>
      </c>
      <c r="F52" s="185">
        <v>0</v>
      </c>
      <c r="G52" s="126">
        <v>0</v>
      </c>
      <c r="H52" s="209">
        <v>0</v>
      </c>
      <c r="I52" s="203">
        <v>0</v>
      </c>
      <c r="J52" s="162">
        <v>0</v>
      </c>
      <c r="K52" s="204">
        <v>0</v>
      </c>
      <c r="L52" s="210">
        <v>0</v>
      </c>
      <c r="M52" s="204">
        <v>0</v>
      </c>
      <c r="N52" s="211">
        <v>0</v>
      </c>
      <c r="O52" s="212">
        <v>0</v>
      </c>
    </row>
    <row r="53" spans="1:16" s="40" customFormat="1" ht="17.25" customHeight="1" thickBot="1">
      <c r="A53" s="100"/>
      <c r="B53" s="101" t="s">
        <v>92</v>
      </c>
      <c r="C53" s="102"/>
      <c r="D53" s="102"/>
      <c r="E53" s="195">
        <v>0</v>
      </c>
      <c r="F53" s="105">
        <v>3263395.8399999491</v>
      </c>
      <c r="G53" s="108">
        <v>3263395.8399999491</v>
      </c>
      <c r="H53" s="107">
        <v>6588479.0899999393</v>
      </c>
      <c r="I53" s="106">
        <v>0</v>
      </c>
      <c r="J53" s="108">
        <v>0</v>
      </c>
      <c r="K53" s="107">
        <v>3263395.8399999491</v>
      </c>
      <c r="L53" s="196">
        <v>21212.072959999674</v>
      </c>
      <c r="M53" s="213">
        <v>97901.875199998467</v>
      </c>
      <c r="N53" s="214">
        <v>0</v>
      </c>
      <c r="O53" s="215">
        <v>0</v>
      </c>
    </row>
    <row r="54" spans="1:16" s="42" customFormat="1" ht="2.25" customHeight="1" thickBot="1">
      <c r="A54" s="33"/>
      <c r="B54" s="216"/>
      <c r="C54" s="216"/>
      <c r="D54" s="216"/>
      <c r="E54" s="216"/>
      <c r="F54" s="216"/>
      <c r="G54" s="217"/>
      <c r="H54" s="217"/>
      <c r="I54" s="217"/>
      <c r="J54" s="217"/>
      <c r="K54" s="217"/>
    </row>
    <row r="55" spans="1:16" s="219" customFormat="1" ht="20.100000000000001" customHeight="1" thickBot="1">
      <c r="A55" s="218"/>
      <c r="B55" s="52" t="s">
        <v>93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4"/>
    </row>
    <row r="56" spans="1:16" s="219" customFormat="1" ht="20.100000000000001" customHeight="1" thickBot="1">
      <c r="A56" s="218"/>
      <c r="B56" s="220" t="s">
        <v>94</v>
      </c>
      <c r="C56" s="221"/>
      <c r="D56" s="221"/>
      <c r="E56" s="222"/>
      <c r="F56" s="62" t="s">
        <v>95</v>
      </c>
      <c r="G56" s="63"/>
      <c r="H56" s="63"/>
      <c r="I56" s="63"/>
      <c r="J56" s="223"/>
      <c r="K56" s="224"/>
      <c r="L56" s="63" t="s">
        <v>96</v>
      </c>
      <c r="M56" s="63"/>
      <c r="N56" s="63"/>
      <c r="O56" s="64"/>
    </row>
    <row r="57" spans="1:16" s="42" customFormat="1" ht="42" customHeight="1" thickBot="1">
      <c r="A57" s="33"/>
      <c r="B57" s="225"/>
      <c r="C57" s="226"/>
      <c r="D57" s="226"/>
      <c r="E57" s="227"/>
      <c r="F57" s="228" t="s">
        <v>97</v>
      </c>
      <c r="G57" s="229" t="s">
        <v>98</v>
      </c>
      <c r="H57" s="230" t="s">
        <v>99</v>
      </c>
      <c r="I57" s="231" t="s">
        <v>100</v>
      </c>
      <c r="J57" s="232"/>
      <c r="K57" s="233"/>
      <c r="L57" s="234" t="s">
        <v>97</v>
      </c>
      <c r="M57" s="229" t="s">
        <v>98</v>
      </c>
      <c r="N57" s="230" t="s">
        <v>99</v>
      </c>
      <c r="O57" s="235" t="s">
        <v>100</v>
      </c>
    </row>
    <row r="58" spans="1:16" s="250" customFormat="1" ht="15" customHeight="1">
      <c r="A58" s="236"/>
      <c r="B58" s="237" t="s">
        <v>101</v>
      </c>
      <c r="C58" s="238"/>
      <c r="D58" s="238"/>
      <c r="E58" s="239"/>
      <c r="F58" s="240">
        <v>0</v>
      </c>
      <c r="G58" s="241">
        <v>0</v>
      </c>
      <c r="H58" s="242">
        <v>0</v>
      </c>
      <c r="I58" s="243">
        <v>0</v>
      </c>
      <c r="J58" s="244"/>
      <c r="K58" s="245"/>
      <c r="L58" s="246">
        <v>0</v>
      </c>
      <c r="M58" s="247">
        <v>0</v>
      </c>
      <c r="N58" s="248">
        <v>0</v>
      </c>
      <c r="O58" s="249">
        <v>0</v>
      </c>
    </row>
    <row r="59" spans="1:16" s="250" customFormat="1" ht="15" customHeight="1">
      <c r="A59" s="236"/>
      <c r="B59" s="251" t="s">
        <v>102</v>
      </c>
      <c r="C59" s="252"/>
      <c r="D59" s="252"/>
      <c r="E59" s="253"/>
      <c r="F59" s="246">
        <v>0</v>
      </c>
      <c r="G59" s="241">
        <v>0</v>
      </c>
      <c r="H59" s="242">
        <v>0</v>
      </c>
      <c r="I59" s="243">
        <v>0</v>
      </c>
      <c r="J59" s="254"/>
      <c r="K59" s="255"/>
      <c r="L59" s="246">
        <v>0</v>
      </c>
      <c r="M59" s="256">
        <v>0</v>
      </c>
      <c r="N59" s="257">
        <v>0</v>
      </c>
      <c r="O59" s="258">
        <v>0</v>
      </c>
    </row>
    <row r="60" spans="1:16" s="250" customFormat="1" ht="15" customHeight="1">
      <c r="A60" s="236"/>
      <c r="B60" s="251" t="s">
        <v>103</v>
      </c>
      <c r="C60" s="252"/>
      <c r="D60" s="252"/>
      <c r="E60" s="253"/>
      <c r="F60" s="246">
        <v>0</v>
      </c>
      <c r="G60" s="241">
        <v>0</v>
      </c>
      <c r="H60" s="242">
        <v>0</v>
      </c>
      <c r="I60" s="243">
        <v>0</v>
      </c>
      <c r="J60" s="254"/>
      <c r="K60" s="255"/>
      <c r="L60" s="246">
        <v>0</v>
      </c>
      <c r="M60" s="256">
        <v>0</v>
      </c>
      <c r="N60" s="257">
        <v>0</v>
      </c>
      <c r="O60" s="258">
        <v>0</v>
      </c>
    </row>
    <row r="61" spans="1:16" s="42" customFormat="1" ht="15" customHeight="1">
      <c r="A61" s="33"/>
      <c r="B61" s="251" t="s">
        <v>104</v>
      </c>
      <c r="C61" s="252"/>
      <c r="D61" s="252"/>
      <c r="E61" s="253"/>
      <c r="F61" s="246">
        <v>0</v>
      </c>
      <c r="G61" s="241">
        <v>0</v>
      </c>
      <c r="H61" s="242">
        <v>0</v>
      </c>
      <c r="I61" s="243">
        <v>0</v>
      </c>
      <c r="J61" s="254"/>
      <c r="K61" s="255"/>
      <c r="L61" s="246">
        <v>0</v>
      </c>
      <c r="M61" s="256">
        <v>0</v>
      </c>
      <c r="N61" s="257">
        <v>0</v>
      </c>
      <c r="O61" s="258">
        <v>0</v>
      </c>
      <c r="P61" s="250"/>
    </row>
    <row r="62" spans="1:16" s="42" customFormat="1" ht="15" customHeight="1">
      <c r="A62" s="33"/>
      <c r="B62" s="251" t="s">
        <v>105</v>
      </c>
      <c r="C62" s="252"/>
      <c r="D62" s="252"/>
      <c r="E62" s="253"/>
      <c r="F62" s="246">
        <v>0</v>
      </c>
      <c r="G62" s="241">
        <v>0</v>
      </c>
      <c r="H62" s="242">
        <v>0</v>
      </c>
      <c r="I62" s="243">
        <v>0</v>
      </c>
      <c r="J62" s="254"/>
      <c r="K62" s="255"/>
      <c r="L62" s="246">
        <v>0</v>
      </c>
      <c r="M62" s="256">
        <v>0</v>
      </c>
      <c r="N62" s="257">
        <v>0</v>
      </c>
      <c r="O62" s="258">
        <v>0</v>
      </c>
      <c r="P62" s="250"/>
    </row>
    <row r="63" spans="1:16" s="42" customFormat="1" ht="15" customHeight="1">
      <c r="A63" s="33"/>
      <c r="B63" s="251" t="s">
        <v>106</v>
      </c>
      <c r="C63" s="252"/>
      <c r="D63" s="252"/>
      <c r="E63" s="253"/>
      <c r="F63" s="246">
        <v>0</v>
      </c>
      <c r="G63" s="241">
        <v>0</v>
      </c>
      <c r="H63" s="242">
        <v>0</v>
      </c>
      <c r="I63" s="243">
        <v>0</v>
      </c>
      <c r="J63" s="254"/>
      <c r="K63" s="255"/>
      <c r="L63" s="246">
        <v>0</v>
      </c>
      <c r="M63" s="256">
        <v>0</v>
      </c>
      <c r="N63" s="257">
        <v>0</v>
      </c>
      <c r="O63" s="258">
        <v>0</v>
      </c>
      <c r="P63" s="250"/>
    </row>
    <row r="64" spans="1:16" s="42" customFormat="1" ht="15" customHeight="1">
      <c r="A64" s="33"/>
      <c r="B64" s="251" t="s">
        <v>107</v>
      </c>
      <c r="C64" s="252"/>
      <c r="D64" s="252"/>
      <c r="E64" s="253"/>
      <c r="F64" s="246">
        <v>0</v>
      </c>
      <c r="G64" s="241">
        <v>0</v>
      </c>
      <c r="H64" s="242">
        <v>0</v>
      </c>
      <c r="I64" s="243">
        <v>0</v>
      </c>
      <c r="J64" s="254"/>
      <c r="K64" s="255"/>
      <c r="L64" s="246">
        <v>0</v>
      </c>
      <c r="M64" s="256">
        <v>0</v>
      </c>
      <c r="N64" s="257">
        <v>0</v>
      </c>
      <c r="O64" s="258">
        <v>0</v>
      </c>
      <c r="P64" s="250"/>
    </row>
    <row r="65" spans="1:16" s="42" customFormat="1" ht="15" customHeight="1">
      <c r="A65" s="33"/>
      <c r="B65" s="251" t="s">
        <v>108</v>
      </c>
      <c r="C65" s="252"/>
      <c r="D65" s="252"/>
      <c r="E65" s="253"/>
      <c r="F65" s="246">
        <v>0</v>
      </c>
      <c r="G65" s="241">
        <v>0</v>
      </c>
      <c r="H65" s="242">
        <v>0</v>
      </c>
      <c r="I65" s="243">
        <v>0</v>
      </c>
      <c r="J65" s="254"/>
      <c r="K65" s="255"/>
      <c r="L65" s="246">
        <v>0</v>
      </c>
      <c r="M65" s="256">
        <v>0</v>
      </c>
      <c r="N65" s="257">
        <v>0</v>
      </c>
      <c r="O65" s="258">
        <v>0</v>
      </c>
      <c r="P65" s="250"/>
    </row>
    <row r="66" spans="1:16" s="42" customFormat="1" ht="15" customHeight="1">
      <c r="A66" s="33"/>
      <c r="B66" s="251" t="s">
        <v>109</v>
      </c>
      <c r="C66" s="252"/>
      <c r="D66" s="252"/>
      <c r="E66" s="253"/>
      <c r="F66" s="246">
        <v>0</v>
      </c>
      <c r="G66" s="241">
        <v>0</v>
      </c>
      <c r="H66" s="242">
        <v>0</v>
      </c>
      <c r="I66" s="243">
        <v>0</v>
      </c>
      <c r="J66" s="254"/>
      <c r="K66" s="255"/>
      <c r="L66" s="246">
        <v>0</v>
      </c>
      <c r="M66" s="256">
        <v>0</v>
      </c>
      <c r="N66" s="257">
        <v>0</v>
      </c>
      <c r="O66" s="258">
        <v>0</v>
      </c>
      <c r="P66" s="250"/>
    </row>
    <row r="67" spans="1:16" s="42" customFormat="1" ht="15" customHeight="1">
      <c r="A67" s="33"/>
      <c r="B67" s="251" t="s">
        <v>110</v>
      </c>
      <c r="C67" s="252"/>
      <c r="D67" s="252"/>
      <c r="E67" s="253"/>
      <c r="F67" s="246">
        <v>0</v>
      </c>
      <c r="G67" s="241">
        <v>0</v>
      </c>
      <c r="H67" s="242">
        <v>0</v>
      </c>
      <c r="I67" s="243">
        <v>0</v>
      </c>
      <c r="J67" s="254"/>
      <c r="K67" s="255"/>
      <c r="L67" s="246">
        <v>0</v>
      </c>
      <c r="M67" s="256">
        <v>0</v>
      </c>
      <c r="N67" s="257">
        <v>0</v>
      </c>
      <c r="O67" s="258">
        <v>0</v>
      </c>
      <c r="P67" s="250"/>
    </row>
    <row r="68" spans="1:16" s="42" customFormat="1" ht="15" customHeight="1">
      <c r="A68" s="33"/>
      <c r="B68" s="251" t="s">
        <v>111</v>
      </c>
      <c r="C68" s="252"/>
      <c r="D68" s="252"/>
      <c r="E68" s="253"/>
      <c r="F68" s="246">
        <v>0</v>
      </c>
      <c r="G68" s="241">
        <v>0</v>
      </c>
      <c r="H68" s="242">
        <v>0</v>
      </c>
      <c r="I68" s="243">
        <v>0</v>
      </c>
      <c r="J68" s="254"/>
      <c r="K68" s="255"/>
      <c r="L68" s="246">
        <v>0</v>
      </c>
      <c r="M68" s="256">
        <v>0</v>
      </c>
      <c r="N68" s="257">
        <v>0</v>
      </c>
      <c r="O68" s="258">
        <v>0</v>
      </c>
      <c r="P68" s="250"/>
    </row>
    <row r="69" spans="1:16" s="42" customFormat="1" ht="15" customHeight="1">
      <c r="A69" s="33"/>
      <c r="B69" s="251" t="s">
        <v>112</v>
      </c>
      <c r="C69" s="252"/>
      <c r="D69" s="252"/>
      <c r="E69" s="253"/>
      <c r="F69" s="246">
        <v>0</v>
      </c>
      <c r="G69" s="241">
        <v>0</v>
      </c>
      <c r="H69" s="242">
        <v>0</v>
      </c>
      <c r="I69" s="243">
        <v>0</v>
      </c>
      <c r="J69" s="254"/>
      <c r="K69" s="255"/>
      <c r="L69" s="246">
        <v>0</v>
      </c>
      <c r="M69" s="256">
        <v>0</v>
      </c>
      <c r="N69" s="257">
        <v>0</v>
      </c>
      <c r="O69" s="258">
        <v>0</v>
      </c>
      <c r="P69" s="250"/>
    </row>
    <row r="70" spans="1:16" s="42" customFormat="1" ht="15" customHeight="1">
      <c r="A70" s="33"/>
      <c r="B70" s="251" t="s">
        <v>113</v>
      </c>
      <c r="C70" s="252"/>
      <c r="D70" s="252"/>
      <c r="E70" s="253"/>
      <c r="F70" s="246">
        <v>0</v>
      </c>
      <c r="G70" s="241">
        <v>0</v>
      </c>
      <c r="H70" s="242">
        <v>0</v>
      </c>
      <c r="I70" s="243">
        <v>0</v>
      </c>
      <c r="J70" s="254"/>
      <c r="K70" s="255"/>
      <c r="L70" s="246">
        <v>0</v>
      </c>
      <c r="M70" s="259">
        <v>0</v>
      </c>
      <c r="N70" s="260">
        <v>0</v>
      </c>
      <c r="O70" s="261">
        <v>0</v>
      </c>
      <c r="P70" s="250"/>
    </row>
    <row r="71" spans="1:16" s="42" customFormat="1" ht="15" customHeight="1" thickBot="1">
      <c r="A71" s="33"/>
      <c r="B71" s="262" t="s">
        <v>114</v>
      </c>
      <c r="C71" s="263"/>
      <c r="D71" s="263"/>
      <c r="E71" s="264"/>
      <c r="F71" s="246">
        <v>0</v>
      </c>
      <c r="G71" s="241">
        <v>0</v>
      </c>
      <c r="H71" s="242">
        <v>0</v>
      </c>
      <c r="I71" s="265">
        <v>0</v>
      </c>
      <c r="J71" s="266"/>
      <c r="K71" s="267"/>
      <c r="L71" s="246">
        <v>0</v>
      </c>
      <c r="M71" s="259">
        <v>0</v>
      </c>
      <c r="N71" s="260">
        <v>0</v>
      </c>
      <c r="O71" s="261">
        <v>0</v>
      </c>
      <c r="P71" s="250"/>
    </row>
    <row r="72" spans="1:16" s="42" customFormat="1" ht="18" customHeight="1" thickBot="1">
      <c r="A72" s="33"/>
      <c r="B72" s="268" t="s">
        <v>115</v>
      </c>
      <c r="C72" s="269"/>
      <c r="D72" s="269"/>
      <c r="E72" s="269"/>
      <c r="F72" s="270">
        <v>0</v>
      </c>
      <c r="G72" s="271">
        <v>0</v>
      </c>
      <c r="H72" s="272">
        <v>0</v>
      </c>
      <c r="I72" s="273">
        <v>0</v>
      </c>
      <c r="J72" s="271">
        <v>0</v>
      </c>
      <c r="K72" s="274">
        <v>0</v>
      </c>
      <c r="L72" s="275">
        <v>0</v>
      </c>
      <c r="M72" s="276">
        <v>0</v>
      </c>
      <c r="N72" s="272">
        <v>0</v>
      </c>
      <c r="O72" s="274">
        <v>0</v>
      </c>
    </row>
    <row r="73" spans="1:16" ht="2.25" customHeight="1" thickBot="1">
      <c r="B73" s="37"/>
      <c r="C73" s="37"/>
      <c r="D73" s="216"/>
      <c r="E73" s="216"/>
      <c r="F73" s="216"/>
      <c r="G73" s="217"/>
      <c r="H73" s="217"/>
      <c r="I73" s="217"/>
      <c r="J73" s="217"/>
      <c r="K73" s="217"/>
    </row>
    <row r="74" spans="1:16" ht="20.100000000000001" customHeight="1" thickBot="1">
      <c r="B74" s="277" t="s">
        <v>116</v>
      </c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  <c r="N74" s="278"/>
      <c r="O74" s="279"/>
    </row>
    <row r="75" spans="1:16" ht="2.25" customHeight="1" thickBot="1">
      <c r="B75" s="34"/>
      <c r="C75" s="280"/>
      <c r="D75" s="55"/>
      <c r="E75" s="55"/>
      <c r="F75" s="55"/>
      <c r="G75" s="281"/>
      <c r="H75" s="281"/>
      <c r="I75" s="281"/>
      <c r="J75" s="281"/>
      <c r="K75" s="281"/>
      <c r="L75" s="281"/>
      <c r="M75" s="282"/>
      <c r="N75" s="282"/>
      <c r="O75" s="282"/>
    </row>
    <row r="76" spans="1:16" ht="42.75" customHeight="1" thickBot="1">
      <c r="B76" s="283" t="s">
        <v>117</v>
      </c>
      <c r="C76" s="284"/>
      <c r="D76" s="284"/>
      <c r="E76" s="284"/>
      <c r="F76" s="284"/>
      <c r="G76" s="285"/>
      <c r="H76" s="286" t="s">
        <v>118</v>
      </c>
      <c r="I76" s="231" t="s">
        <v>119</v>
      </c>
      <c r="J76" s="231" t="s">
        <v>120</v>
      </c>
      <c r="K76" s="228" t="s">
        <v>121</v>
      </c>
      <c r="L76" s="287" t="s">
        <v>122</v>
      </c>
      <c r="M76" s="230" t="s">
        <v>123</v>
      </c>
      <c r="N76" s="231" t="s">
        <v>124</v>
      </c>
      <c r="O76" s="228" t="s">
        <v>125</v>
      </c>
    </row>
    <row r="77" spans="1:16" ht="15" customHeight="1">
      <c r="B77" s="288" t="s">
        <v>126</v>
      </c>
      <c r="C77" s="289"/>
      <c r="D77" s="290"/>
      <c r="E77" s="290"/>
      <c r="F77" s="290"/>
      <c r="G77" s="291"/>
      <c r="H77" s="292">
        <v>0</v>
      </c>
      <c r="I77" s="293">
        <v>0</v>
      </c>
      <c r="J77" s="293">
        <v>0</v>
      </c>
      <c r="K77" s="294">
        <v>0</v>
      </c>
      <c r="L77" s="295">
        <v>0</v>
      </c>
      <c r="M77" s="296">
        <v>0</v>
      </c>
      <c r="N77" s="295">
        <v>0</v>
      </c>
      <c r="O77" s="294">
        <v>0</v>
      </c>
    </row>
    <row r="78" spans="1:16" ht="15" customHeight="1">
      <c r="B78" s="297" t="s">
        <v>127</v>
      </c>
      <c r="C78" s="298"/>
      <c r="D78" s="299"/>
      <c r="E78" s="299"/>
      <c r="F78" s="299"/>
      <c r="G78" s="300"/>
      <c r="H78" s="301">
        <v>0</v>
      </c>
      <c r="I78" s="302">
        <v>0</v>
      </c>
      <c r="J78" s="243">
        <v>0</v>
      </c>
      <c r="K78" s="303">
        <v>0</v>
      </c>
      <c r="L78" s="304">
        <v>0</v>
      </c>
      <c r="M78" s="242">
        <v>0</v>
      </c>
      <c r="N78" s="304">
        <v>0</v>
      </c>
      <c r="O78" s="303">
        <v>0</v>
      </c>
    </row>
    <row r="79" spans="1:16" s="37" customFormat="1" ht="15" customHeight="1">
      <c r="A79" s="56"/>
      <c r="B79" s="305" t="s">
        <v>128</v>
      </c>
      <c r="C79" s="306"/>
      <c r="D79" s="306"/>
      <c r="E79" s="306"/>
      <c r="F79" s="306"/>
      <c r="G79" s="307"/>
      <c r="H79" s="308">
        <v>0</v>
      </c>
      <c r="I79" s="309">
        <v>0</v>
      </c>
      <c r="J79" s="309">
        <v>0</v>
      </c>
      <c r="K79" s="310">
        <v>0</v>
      </c>
      <c r="L79" s="311">
        <v>0</v>
      </c>
      <c r="M79" s="312">
        <v>0</v>
      </c>
      <c r="N79" s="311">
        <v>0</v>
      </c>
      <c r="O79" s="310">
        <v>0</v>
      </c>
    </row>
    <row r="80" spans="1:16" ht="15" customHeight="1">
      <c r="B80" s="313" t="s">
        <v>129</v>
      </c>
      <c r="C80" s="298"/>
      <c r="D80" s="299"/>
      <c r="E80" s="299"/>
      <c r="F80" s="299"/>
      <c r="G80" s="300"/>
      <c r="H80" s="314">
        <v>0</v>
      </c>
      <c r="I80" s="315">
        <v>0</v>
      </c>
      <c r="J80" s="315">
        <v>0</v>
      </c>
      <c r="K80" s="316">
        <v>0</v>
      </c>
      <c r="L80" s="317">
        <v>0</v>
      </c>
      <c r="M80" s="318">
        <v>0</v>
      </c>
      <c r="N80" s="317">
        <v>0</v>
      </c>
      <c r="O80" s="316">
        <v>0</v>
      </c>
    </row>
    <row r="81" spans="1:15" ht="15" customHeight="1" thickBot="1">
      <c r="B81" s="319" t="s">
        <v>130</v>
      </c>
      <c r="C81" s="320"/>
      <c r="D81" s="321"/>
      <c r="E81" s="321"/>
      <c r="F81" s="321"/>
      <c r="G81" s="322"/>
      <c r="H81" s="323">
        <v>0</v>
      </c>
      <c r="I81" s="324">
        <v>0</v>
      </c>
      <c r="J81" s="324">
        <v>0</v>
      </c>
      <c r="K81" s="325">
        <v>0</v>
      </c>
      <c r="L81" s="326">
        <v>0</v>
      </c>
      <c r="M81" s="327">
        <v>0</v>
      </c>
      <c r="N81" s="328">
        <v>0</v>
      </c>
      <c r="O81" s="329">
        <v>0</v>
      </c>
    </row>
    <row r="82" spans="1:15" s="37" customFormat="1" ht="15" customHeight="1" thickBot="1">
      <c r="A82" s="56"/>
      <c r="B82" s="330" t="s">
        <v>131</v>
      </c>
      <c r="C82" s="331"/>
      <c r="D82" s="331"/>
      <c r="E82" s="331"/>
      <c r="F82" s="331"/>
      <c r="G82" s="332"/>
      <c r="H82" s="333">
        <v>0</v>
      </c>
      <c r="I82" s="334">
        <v>0</v>
      </c>
      <c r="J82" s="334">
        <v>0</v>
      </c>
      <c r="K82" s="335">
        <v>0</v>
      </c>
      <c r="L82" s="336">
        <v>0</v>
      </c>
      <c r="M82" s="337">
        <v>0</v>
      </c>
      <c r="N82" s="336">
        <v>0</v>
      </c>
      <c r="O82" s="335">
        <v>0</v>
      </c>
    </row>
    <row r="83" spans="1:15" ht="2.25" customHeight="1" thickBot="1">
      <c r="G83" s="13"/>
      <c r="H83" s="13"/>
      <c r="I83" s="13"/>
      <c r="J83" s="13"/>
      <c r="K83" s="338"/>
    </row>
    <row r="84" spans="1:15" ht="40.5" customHeight="1" thickBot="1">
      <c r="B84" s="283" t="s">
        <v>132</v>
      </c>
      <c r="C84" s="284"/>
      <c r="D84" s="284"/>
      <c r="E84" s="284"/>
      <c r="F84" s="284"/>
      <c r="G84" s="285"/>
      <c r="H84" s="286" t="s">
        <v>118</v>
      </c>
      <c r="I84" s="231" t="s">
        <v>119</v>
      </c>
      <c r="J84" s="231" t="s">
        <v>120</v>
      </c>
      <c r="K84" s="228" t="s">
        <v>133</v>
      </c>
      <c r="L84" s="287" t="s">
        <v>122</v>
      </c>
      <c r="M84" s="230" t="s">
        <v>123</v>
      </c>
      <c r="N84" s="231" t="s">
        <v>124</v>
      </c>
      <c r="O84" s="228" t="s">
        <v>125</v>
      </c>
    </row>
    <row r="85" spans="1:15" ht="15" customHeight="1">
      <c r="B85" s="288" t="s">
        <v>126</v>
      </c>
      <c r="C85" s="289"/>
      <c r="D85" s="290"/>
      <c r="E85" s="291"/>
      <c r="F85" s="291"/>
      <c r="G85" s="291"/>
      <c r="H85" s="292">
        <v>0</v>
      </c>
      <c r="I85" s="293">
        <v>0</v>
      </c>
      <c r="J85" s="293">
        <v>0</v>
      </c>
      <c r="K85" s="339">
        <v>0</v>
      </c>
      <c r="L85" s="295">
        <v>0</v>
      </c>
      <c r="M85" s="296">
        <v>0</v>
      </c>
      <c r="N85" s="295">
        <v>0</v>
      </c>
      <c r="O85" s="339">
        <v>0</v>
      </c>
    </row>
    <row r="86" spans="1:15" ht="15" customHeight="1">
      <c r="B86" s="297" t="s">
        <v>134</v>
      </c>
      <c r="C86" s="298"/>
      <c r="D86" s="299"/>
      <c r="E86" s="300"/>
      <c r="F86" s="300"/>
      <c r="G86" s="300"/>
      <c r="H86" s="301">
        <v>0</v>
      </c>
      <c r="I86" s="302">
        <v>0</v>
      </c>
      <c r="J86" s="243">
        <v>0</v>
      </c>
      <c r="K86" s="340">
        <v>0</v>
      </c>
      <c r="L86" s="304">
        <v>0</v>
      </c>
      <c r="M86" s="242">
        <v>0</v>
      </c>
      <c r="N86" s="304">
        <v>0</v>
      </c>
      <c r="O86" s="340">
        <v>0</v>
      </c>
    </row>
    <row r="87" spans="1:15" ht="15" customHeight="1">
      <c r="B87" s="297" t="s">
        <v>135</v>
      </c>
      <c r="C87" s="298"/>
      <c r="D87" s="299"/>
      <c r="E87" s="300"/>
      <c r="F87" s="300"/>
      <c r="G87" s="300"/>
      <c r="H87" s="301">
        <v>0</v>
      </c>
      <c r="I87" s="302">
        <v>0</v>
      </c>
      <c r="J87" s="243">
        <v>0</v>
      </c>
      <c r="K87" s="340">
        <v>0</v>
      </c>
      <c r="L87" s="304">
        <v>0</v>
      </c>
      <c r="M87" s="242">
        <v>0</v>
      </c>
      <c r="N87" s="304">
        <v>0</v>
      </c>
      <c r="O87" s="340">
        <v>0</v>
      </c>
    </row>
    <row r="88" spans="1:15" s="37" customFormat="1" ht="15" customHeight="1">
      <c r="A88" s="56"/>
      <c r="B88" s="305" t="s">
        <v>136</v>
      </c>
      <c r="C88" s="306"/>
      <c r="D88" s="306"/>
      <c r="E88" s="307"/>
      <c r="F88" s="307"/>
      <c r="G88" s="307"/>
      <c r="H88" s="341">
        <v>0</v>
      </c>
      <c r="I88" s="342">
        <v>0</v>
      </c>
      <c r="J88" s="342">
        <v>0</v>
      </c>
      <c r="K88" s="310">
        <v>0</v>
      </c>
      <c r="L88" s="343">
        <v>0</v>
      </c>
      <c r="M88" s="344">
        <v>0</v>
      </c>
      <c r="N88" s="343">
        <v>0</v>
      </c>
      <c r="O88" s="310">
        <v>0</v>
      </c>
    </row>
    <row r="89" spans="1:15" ht="15" customHeight="1">
      <c r="B89" s="313" t="s">
        <v>129</v>
      </c>
      <c r="C89" s="298"/>
      <c r="D89" s="299"/>
      <c r="E89" s="300"/>
      <c r="F89" s="300"/>
      <c r="G89" s="300"/>
      <c r="H89" s="314">
        <v>0</v>
      </c>
      <c r="I89" s="315">
        <v>0</v>
      </c>
      <c r="J89" s="315">
        <v>0</v>
      </c>
      <c r="K89" s="345">
        <v>0</v>
      </c>
      <c r="L89" s="317">
        <v>0</v>
      </c>
      <c r="M89" s="318">
        <v>0</v>
      </c>
      <c r="N89" s="317">
        <v>0</v>
      </c>
      <c r="O89" s="345">
        <v>0</v>
      </c>
    </row>
    <row r="90" spans="1:15" ht="15" customHeight="1" thickBot="1">
      <c r="B90" s="319" t="s">
        <v>130</v>
      </c>
      <c r="C90" s="320"/>
      <c r="D90" s="321"/>
      <c r="E90" s="322"/>
      <c r="F90" s="322"/>
      <c r="G90" s="322"/>
      <c r="H90" s="323">
        <v>0</v>
      </c>
      <c r="I90" s="324">
        <v>0</v>
      </c>
      <c r="J90" s="324">
        <v>0</v>
      </c>
      <c r="K90" s="346">
        <v>0</v>
      </c>
      <c r="L90" s="326">
        <v>0</v>
      </c>
      <c r="M90" s="327">
        <v>0</v>
      </c>
      <c r="N90" s="328">
        <v>0</v>
      </c>
      <c r="O90" s="347">
        <v>0</v>
      </c>
    </row>
    <row r="91" spans="1:15" s="37" customFormat="1" ht="15" customHeight="1" thickBot="1">
      <c r="A91" s="56"/>
      <c r="B91" s="330" t="s">
        <v>131</v>
      </c>
      <c r="C91" s="331"/>
      <c r="D91" s="331"/>
      <c r="E91" s="332"/>
      <c r="F91" s="332"/>
      <c r="G91" s="332"/>
      <c r="H91" s="348">
        <v>0</v>
      </c>
      <c r="I91" s="349">
        <v>0</v>
      </c>
      <c r="J91" s="349">
        <v>0</v>
      </c>
      <c r="K91" s="335">
        <v>0</v>
      </c>
      <c r="L91" s="336">
        <v>0</v>
      </c>
      <c r="M91" s="337">
        <v>0</v>
      </c>
      <c r="N91" s="336">
        <v>0</v>
      </c>
      <c r="O91" s="335">
        <v>0</v>
      </c>
    </row>
    <row r="92" spans="1:15" ht="4.5" customHeight="1" thickBot="1">
      <c r="B92" s="34"/>
      <c r="C92" s="280"/>
      <c r="D92" s="55"/>
      <c r="E92" s="55"/>
      <c r="F92" s="55"/>
      <c r="G92" s="281"/>
      <c r="H92" s="281"/>
      <c r="I92" s="281"/>
      <c r="J92" s="281"/>
      <c r="K92" s="281"/>
      <c r="L92" s="281"/>
      <c r="M92" s="55"/>
      <c r="N92" s="55"/>
      <c r="O92" s="282"/>
    </row>
    <row r="93" spans="1:15" s="219" customFormat="1" ht="20.100000000000001" customHeight="1" thickBot="1">
      <c r="A93" s="218"/>
      <c r="B93" s="350" t="s">
        <v>137</v>
      </c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53"/>
      <c r="N93" s="53"/>
      <c r="O93" s="54"/>
    </row>
    <row r="94" spans="1:15" ht="15" customHeight="1" thickBot="1">
      <c r="B94" s="352" t="s">
        <v>138</v>
      </c>
      <c r="C94" s="353"/>
      <c r="D94" s="353"/>
      <c r="E94" s="353"/>
      <c r="F94" s="353"/>
      <c r="G94" s="353"/>
      <c r="H94" s="353"/>
      <c r="I94" s="353"/>
      <c r="J94" s="353"/>
      <c r="K94" s="353"/>
      <c r="L94" s="354"/>
      <c r="M94" s="355" t="s">
        <v>139</v>
      </c>
      <c r="N94" s="356" t="s">
        <v>140</v>
      </c>
      <c r="O94" s="357" t="s">
        <v>141</v>
      </c>
    </row>
    <row r="95" spans="1:15" s="42" customFormat="1" ht="15" customHeight="1">
      <c r="A95" s="33"/>
      <c r="B95" s="358" t="s">
        <v>142</v>
      </c>
      <c r="C95" s="358"/>
      <c r="D95" s="358"/>
      <c r="E95" s="358"/>
      <c r="F95" s="358"/>
      <c r="G95" s="358"/>
      <c r="H95" s="358"/>
      <c r="I95" s="358"/>
      <c r="J95" s="358"/>
      <c r="K95" s="358"/>
      <c r="L95" s="359"/>
      <c r="M95" s="360">
        <v>21212.072959999674</v>
      </c>
      <c r="N95" s="361">
        <v>97901.875199998467</v>
      </c>
      <c r="O95" s="362">
        <v>0</v>
      </c>
    </row>
    <row r="96" spans="1:15" ht="15" customHeight="1">
      <c r="B96" s="363" t="s">
        <v>143</v>
      </c>
      <c r="C96" s="363"/>
      <c r="D96" s="363"/>
      <c r="E96" s="363"/>
      <c r="F96" s="363"/>
      <c r="G96" s="363"/>
      <c r="H96" s="363"/>
      <c r="I96" s="363"/>
      <c r="J96" s="363"/>
      <c r="K96" s="363"/>
      <c r="L96" s="364"/>
      <c r="M96" s="365">
        <v>0</v>
      </c>
      <c r="N96" s="366">
        <v>0</v>
      </c>
      <c r="O96" s="258">
        <v>0</v>
      </c>
    </row>
    <row r="97" spans="1:15" ht="15" customHeight="1">
      <c r="B97" s="363" t="s">
        <v>144</v>
      </c>
      <c r="C97" s="363"/>
      <c r="D97" s="363"/>
      <c r="E97" s="363"/>
      <c r="F97" s="363"/>
      <c r="G97" s="363"/>
      <c r="H97" s="363"/>
      <c r="I97" s="363"/>
      <c r="J97" s="363"/>
      <c r="K97" s="363"/>
      <c r="L97" s="364"/>
      <c r="M97" s="367">
        <v>0</v>
      </c>
      <c r="N97" s="368">
        <v>0</v>
      </c>
      <c r="O97" s="369">
        <v>0</v>
      </c>
    </row>
    <row r="98" spans="1:15" ht="15" customHeight="1">
      <c r="B98" s="363" t="s">
        <v>145</v>
      </c>
      <c r="C98" s="363"/>
      <c r="D98" s="363"/>
      <c r="E98" s="363"/>
      <c r="F98" s="363"/>
      <c r="G98" s="363"/>
      <c r="H98" s="363"/>
      <c r="I98" s="363"/>
      <c r="J98" s="363"/>
      <c r="K98" s="363"/>
      <c r="L98" s="364"/>
      <c r="M98" s="367">
        <v>0</v>
      </c>
      <c r="N98" s="368">
        <v>0</v>
      </c>
      <c r="O98" s="369">
        <v>0</v>
      </c>
    </row>
    <row r="99" spans="1:15" ht="15" customHeight="1">
      <c r="B99" s="363" t="s">
        <v>146</v>
      </c>
      <c r="C99" s="363"/>
      <c r="D99" s="363"/>
      <c r="E99" s="363"/>
      <c r="F99" s="363"/>
      <c r="G99" s="363"/>
      <c r="H99" s="363"/>
      <c r="I99" s="363"/>
      <c r="J99" s="363"/>
      <c r="K99" s="363"/>
      <c r="L99" s="364"/>
      <c r="M99" s="367"/>
      <c r="N99" s="368"/>
      <c r="O99" s="369">
        <v>0</v>
      </c>
    </row>
    <row r="100" spans="1:15" ht="15" customHeight="1" thickBot="1">
      <c r="B100" s="370" t="s">
        <v>147</v>
      </c>
      <c r="C100" s="370"/>
      <c r="D100" s="370"/>
      <c r="E100" s="370"/>
      <c r="F100" s="370"/>
      <c r="G100" s="370"/>
      <c r="H100" s="370"/>
      <c r="I100" s="370"/>
      <c r="J100" s="370"/>
      <c r="K100" s="370"/>
      <c r="L100" s="371"/>
      <c r="M100" s="372">
        <v>0</v>
      </c>
      <c r="N100" s="373">
        <v>0</v>
      </c>
      <c r="O100" s="374">
        <v>0</v>
      </c>
    </row>
    <row r="101" spans="1:15" ht="18" customHeight="1" thickBot="1">
      <c r="B101" s="375" t="s">
        <v>148</v>
      </c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7">
        <v>21212.072959999674</v>
      </c>
      <c r="N101" s="378">
        <v>97901.875199998467</v>
      </c>
      <c r="O101" s="379">
        <v>0</v>
      </c>
    </row>
    <row r="102" spans="1:15" s="383" customFormat="1" ht="24.9" customHeight="1">
      <c r="A102" s="9"/>
      <c r="B102" s="380"/>
      <c r="C102" s="380"/>
      <c r="D102" s="381"/>
      <c r="E102" s="381"/>
      <c r="F102" s="381"/>
      <c r="G102" s="381"/>
      <c r="H102" s="382"/>
      <c r="M102" s="384"/>
    </row>
    <row r="103" spans="1:15" s="383" customFormat="1" ht="20.100000000000001" customHeight="1">
      <c r="A103" s="9"/>
      <c r="C103" s="385" t="s">
        <v>149</v>
      </c>
      <c r="D103" s="386"/>
      <c r="E103" s="387" t="s">
        <v>150</v>
      </c>
      <c r="F103" s="388" t="s">
        <v>151</v>
      </c>
      <c r="G103" s="387" t="s">
        <v>152</v>
      </c>
      <c r="H103" s="389" t="s">
        <v>153</v>
      </c>
      <c r="M103" s="384"/>
    </row>
    <row r="104" spans="1:15" s="383" customFormat="1" ht="20.100000000000001" customHeight="1">
      <c r="A104" s="9"/>
      <c r="C104" s="390" t="s">
        <v>154</v>
      </c>
      <c r="D104" s="391"/>
      <c r="E104" s="392">
        <v>21212.072959999674</v>
      </c>
      <c r="F104" s="392">
        <v>21212.072959999674</v>
      </c>
      <c r="G104" s="392">
        <v>21212.072959999674</v>
      </c>
      <c r="H104" s="392">
        <v>0</v>
      </c>
      <c r="J104" s="393"/>
      <c r="K104" s="394"/>
      <c r="M104" s="384"/>
    </row>
    <row r="105" spans="1:15" s="383" customFormat="1" ht="20.100000000000001" customHeight="1">
      <c r="A105" s="9"/>
      <c r="C105" s="395" t="s">
        <v>155</v>
      </c>
      <c r="D105" s="396"/>
      <c r="E105" s="397">
        <v>97901.875199998467</v>
      </c>
      <c r="F105" s="397">
        <v>97901.875199998467</v>
      </c>
      <c r="G105" s="397">
        <v>97901.875199998467</v>
      </c>
      <c r="H105" s="397">
        <v>0</v>
      </c>
      <c r="J105" s="393"/>
      <c r="K105" s="394"/>
      <c r="M105" s="384"/>
    </row>
    <row r="106" spans="1:15" s="383" customFormat="1" ht="20.100000000000001" customHeight="1">
      <c r="A106" s="9"/>
      <c r="C106" s="398" t="s">
        <v>156</v>
      </c>
      <c r="D106" s="399"/>
      <c r="E106" s="400">
        <v>0</v>
      </c>
      <c r="F106" s="400">
        <v>0</v>
      </c>
      <c r="G106" s="400">
        <v>0</v>
      </c>
      <c r="H106" s="400"/>
      <c r="I106" s="401"/>
      <c r="J106" s="402"/>
      <c r="K106" s="402"/>
      <c r="L106" s="403"/>
      <c r="M106" s="384"/>
    </row>
    <row r="107" spans="1:15" s="383" customFormat="1" ht="9.9" customHeight="1">
      <c r="A107" s="9"/>
      <c r="B107" s="404"/>
      <c r="C107" s="404"/>
      <c r="D107" s="404"/>
      <c r="E107" s="404"/>
      <c r="F107" s="404"/>
      <c r="G107" s="404"/>
      <c r="H107" s="382"/>
      <c r="I107" s="401"/>
      <c r="M107" s="384"/>
    </row>
    <row r="108" spans="1:15" s="383" customFormat="1" ht="18" customHeight="1">
      <c r="A108" s="9"/>
      <c r="B108" s="402"/>
      <c r="C108" s="402"/>
      <c r="D108" s="402"/>
      <c r="E108" s="402"/>
      <c r="F108" s="402"/>
      <c r="G108" s="402"/>
      <c r="H108" s="382"/>
      <c r="I108" s="382"/>
      <c r="J108" s="402"/>
      <c r="K108" s="402"/>
      <c r="L108" s="13"/>
      <c r="M108" s="384"/>
    </row>
    <row r="109" spans="1:15" s="383" customFormat="1" ht="18" customHeight="1">
      <c r="A109" s="9"/>
      <c r="D109" s="402"/>
      <c r="E109" s="402"/>
      <c r="F109" s="402"/>
      <c r="G109" s="402"/>
      <c r="H109" s="382"/>
      <c r="M109" s="384"/>
    </row>
    <row r="110" spans="1:15" s="383" customFormat="1" ht="18" customHeight="1">
      <c r="A110" s="9"/>
      <c r="D110" s="402"/>
      <c r="E110" s="402"/>
      <c r="F110" s="402"/>
      <c r="G110" s="402"/>
      <c r="H110" s="382"/>
      <c r="M110" s="384"/>
      <c r="N110" s="405"/>
      <c r="O110" s="216"/>
    </row>
    <row r="111" spans="1:15" s="383" customFormat="1" ht="9.9" customHeight="1">
      <c r="A111" s="9"/>
      <c r="D111" s="402"/>
      <c r="E111" s="402"/>
      <c r="F111" s="402"/>
      <c r="G111" s="402"/>
      <c r="H111" s="382"/>
      <c r="I111" s="382"/>
      <c r="J111" s="402"/>
      <c r="K111" s="402"/>
      <c r="L111" s="13"/>
      <c r="N111" s="406"/>
      <c r="O111" s="406"/>
    </row>
    <row r="112" spans="1:15" s="383" customFormat="1" ht="18" customHeight="1">
      <c r="A112" s="9"/>
      <c r="B112" s="402"/>
      <c r="C112" s="402"/>
      <c r="D112" s="402"/>
      <c r="E112" s="402"/>
      <c r="F112" s="402"/>
      <c r="G112" s="402"/>
      <c r="H112" s="382"/>
      <c r="I112" s="382"/>
      <c r="J112" s="402"/>
      <c r="K112" s="402"/>
      <c r="L112" s="13"/>
    </row>
    <row r="113" spans="1:12" s="383" customFormat="1" ht="18" customHeight="1">
      <c r="A113" s="9"/>
      <c r="B113" s="402"/>
      <c r="C113" s="402"/>
      <c r="D113" s="402"/>
      <c r="E113" s="402"/>
      <c r="F113" s="402"/>
      <c r="G113" s="402"/>
      <c r="H113" s="382"/>
      <c r="I113" s="382"/>
      <c r="J113" s="402"/>
      <c r="K113" s="402"/>
      <c r="L113" s="13"/>
    </row>
    <row r="114" spans="1:12" s="383" customFormat="1" ht="18" customHeight="1">
      <c r="A114" s="9"/>
      <c r="B114" s="402"/>
      <c r="C114" s="402"/>
      <c r="D114" s="402"/>
      <c r="E114" s="402"/>
      <c r="F114" s="402"/>
      <c r="G114" s="402"/>
      <c r="H114" s="382"/>
      <c r="I114" s="382"/>
      <c r="J114" s="402"/>
      <c r="K114" s="402"/>
      <c r="L114" s="13"/>
    </row>
    <row r="115" spans="1:12" s="383" customFormat="1" ht="18" customHeight="1">
      <c r="A115" s="9"/>
      <c r="C115" s="402"/>
      <c r="D115" s="402"/>
      <c r="E115" s="402"/>
      <c r="F115" s="402"/>
      <c r="G115" s="402"/>
      <c r="H115" s="382"/>
      <c r="I115" s="382"/>
      <c r="J115" s="402"/>
      <c r="K115" s="402"/>
      <c r="L115" s="13"/>
    </row>
    <row r="116" spans="1:12" s="383" customFormat="1" ht="18" customHeight="1">
      <c r="A116" s="9"/>
      <c r="B116" s="402"/>
      <c r="C116" s="402"/>
      <c r="D116" s="402"/>
      <c r="E116" s="402"/>
      <c r="F116" s="402"/>
      <c r="G116" s="402"/>
      <c r="H116" s="382"/>
      <c r="I116" s="382"/>
      <c r="J116" s="402"/>
      <c r="K116" s="402"/>
      <c r="L116" s="13"/>
    </row>
    <row r="117" spans="1:12" s="383" customFormat="1" ht="18" customHeight="1">
      <c r="A117" s="9"/>
      <c r="B117" s="402"/>
      <c r="C117" s="402"/>
      <c r="D117" s="402"/>
      <c r="E117" s="402"/>
      <c r="F117" s="402"/>
      <c r="G117" s="402"/>
      <c r="H117" s="382"/>
      <c r="I117" s="382"/>
      <c r="J117" s="402"/>
      <c r="K117" s="402"/>
      <c r="L117" s="13"/>
    </row>
    <row r="118" spans="1:12" s="383" customFormat="1" ht="18" customHeight="1">
      <c r="A118" s="9"/>
      <c r="B118" s="402"/>
      <c r="C118" s="402"/>
      <c r="D118" s="402"/>
      <c r="E118" s="402"/>
      <c r="F118" s="402"/>
      <c r="G118" s="402"/>
      <c r="H118" s="402"/>
      <c r="I118" s="402"/>
      <c r="J118" s="402"/>
      <c r="K118" s="402"/>
      <c r="L118" s="13"/>
    </row>
    <row r="119" spans="1:12" s="383" customFormat="1" ht="18" customHeight="1">
      <c r="A119" s="9"/>
      <c r="B119" s="13"/>
      <c r="C119" s="13"/>
      <c r="D119" s="13"/>
      <c r="E119" s="13"/>
      <c r="F119" s="13"/>
      <c r="G119" s="382"/>
      <c r="H119" s="402"/>
      <c r="I119" s="402"/>
      <c r="J119" s="402"/>
      <c r="K119" s="402"/>
      <c r="L119" s="13"/>
    </row>
    <row r="120" spans="1:12" s="383" customFormat="1" ht="18" customHeight="1">
      <c r="A120" s="9"/>
      <c r="B120" s="13"/>
      <c r="C120" s="13"/>
      <c r="D120" s="13"/>
      <c r="E120" s="13"/>
      <c r="F120" s="13"/>
      <c r="G120" s="382"/>
      <c r="H120" s="382"/>
      <c r="I120" s="382"/>
      <c r="J120" s="402"/>
      <c r="K120" s="402"/>
      <c r="L120" s="13"/>
    </row>
  </sheetData>
  <sheetProtection insertHyperlinks="0" sort="0" autoFilter="0" pivotTables="0"/>
  <mergeCells count="83">
    <mergeCell ref="C105:D105"/>
    <mergeCell ref="C106:D106"/>
    <mergeCell ref="B99:L99"/>
    <mergeCell ref="B100:L100"/>
    <mergeCell ref="B101:L101"/>
    <mergeCell ref="B102:C102"/>
    <mergeCell ref="C103:D103"/>
    <mergeCell ref="C104:D104"/>
    <mergeCell ref="B93:O93"/>
    <mergeCell ref="B94:L94"/>
    <mergeCell ref="B95:L95"/>
    <mergeCell ref="B96:L96"/>
    <mergeCell ref="B97:L97"/>
    <mergeCell ref="B98:L98"/>
    <mergeCell ref="B70:E70"/>
    <mergeCell ref="B71:E71"/>
    <mergeCell ref="B72:E72"/>
    <mergeCell ref="B74:O74"/>
    <mergeCell ref="B76:G76"/>
    <mergeCell ref="B84:G84"/>
    <mergeCell ref="B64:E64"/>
    <mergeCell ref="B65:E65"/>
    <mergeCell ref="B66:E66"/>
    <mergeCell ref="B67:E67"/>
    <mergeCell ref="B68:E68"/>
    <mergeCell ref="B69:E69"/>
    <mergeCell ref="B58:E58"/>
    <mergeCell ref="B59:E59"/>
    <mergeCell ref="B60:E60"/>
    <mergeCell ref="B61:E61"/>
    <mergeCell ref="B62:E62"/>
    <mergeCell ref="B63:E63"/>
    <mergeCell ref="B51:D51"/>
    <mergeCell ref="B52:D52"/>
    <mergeCell ref="B53:D53"/>
    <mergeCell ref="B55:O55"/>
    <mergeCell ref="B56:E57"/>
    <mergeCell ref="F56:I56"/>
    <mergeCell ref="L56:O56"/>
    <mergeCell ref="B45:D45"/>
    <mergeCell ref="B46:D46"/>
    <mergeCell ref="B47:D47"/>
    <mergeCell ref="B48:D48"/>
    <mergeCell ref="B49:D49"/>
    <mergeCell ref="B50:D50"/>
    <mergeCell ref="B33:D33"/>
    <mergeCell ref="B34:D34"/>
    <mergeCell ref="B39:D39"/>
    <mergeCell ref="B41:D41"/>
    <mergeCell ref="B43:D43"/>
    <mergeCell ref="B44:D44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7:G17"/>
    <mergeCell ref="H17:J17"/>
    <mergeCell ref="K17:M17"/>
    <mergeCell ref="N17:O17"/>
    <mergeCell ref="B18:D19"/>
    <mergeCell ref="K19:K20"/>
    <mergeCell ref="N19:N20"/>
    <mergeCell ref="B20:D20"/>
    <mergeCell ref="C11:L11"/>
    <mergeCell ref="N11:O11"/>
    <mergeCell ref="C12:D12"/>
    <mergeCell ref="F12:G12"/>
    <mergeCell ref="E13:K13"/>
    <mergeCell ref="B15:O15"/>
    <mergeCell ref="B7:M8"/>
    <mergeCell ref="N7:O7"/>
    <mergeCell ref="B9:C10"/>
    <mergeCell ref="D9:G10"/>
    <mergeCell ref="H9:L10"/>
    <mergeCell ref="M9:O9"/>
  </mergeCells>
  <conditionalFormatting sqref="C11">
    <cfRule type="expression" dxfId="92" priority="2" stopIfTrue="1">
      <formula>IF($C$11="",1)</formula>
    </cfRule>
  </conditionalFormatting>
  <conditionalFormatting sqref="C12">
    <cfRule type="expression" dxfId="91" priority="32" stopIfTrue="1">
      <formula>IF($C$12="Selecionar",1,IF($C$12="",1))</formula>
    </cfRule>
  </conditionalFormatting>
  <conditionalFormatting sqref="E104">
    <cfRule type="expression" dxfId="90" priority="13">
      <formula>IF($E$104&lt;&gt;$M$101,1)</formula>
    </cfRule>
  </conditionalFormatting>
  <conditionalFormatting sqref="E105">
    <cfRule type="expression" dxfId="89" priority="28" stopIfTrue="1">
      <formula>IF($E$105&lt;&gt;$N$101,1)</formula>
    </cfRule>
  </conditionalFormatting>
  <conditionalFormatting sqref="E106">
    <cfRule type="expression" dxfId="88" priority="12">
      <formula>IF($E$106&lt;&gt;$O$101,1)</formula>
    </cfRule>
  </conditionalFormatting>
  <conditionalFormatting sqref="E21:G21">
    <cfRule type="expression" dxfId="87" priority="33" stopIfTrue="1">
      <formula>IF($C$12="LUCRO REAL",IF($G$21&lt;&gt;$H$21+$I$21+$J$21,1))</formula>
    </cfRule>
  </conditionalFormatting>
  <conditionalFormatting sqref="E13:K13">
    <cfRule type="expression" dxfId="86" priority="22" stopIfTrue="1">
      <formula>IF($E$13="Selecionar",1,IF($E$13="",1))</formula>
    </cfRule>
  </conditionalFormatting>
  <conditionalFormatting sqref="F12">
    <cfRule type="expression" dxfId="85" priority="31" stopIfTrue="1">
      <formula>IF($F$12="Selecionar",1,IF($F$12="",1))</formula>
    </cfRule>
  </conditionalFormatting>
  <conditionalFormatting sqref="F72">
    <cfRule type="expression" dxfId="84" priority="35" stopIfTrue="1">
      <formula>IF($F$72&lt;&gt;$G$72+$H$72+$I$72,1)</formula>
    </cfRule>
  </conditionalFormatting>
  <conditionalFormatting sqref="F104">
    <cfRule type="expression" dxfId="83" priority="10">
      <formula>IF($F$104&lt;&gt;$M$101,1)</formula>
    </cfRule>
  </conditionalFormatting>
  <conditionalFormatting sqref="F105">
    <cfRule type="expression" dxfId="82" priority="11" stopIfTrue="1">
      <formula>IF($F$105&lt;&gt;$N$101,1)</formula>
    </cfRule>
  </conditionalFormatting>
  <conditionalFormatting sqref="F106">
    <cfRule type="expression" dxfId="81" priority="9">
      <formula>IF($F$106&lt;&gt;$O$101,1)</formula>
    </cfRule>
  </conditionalFormatting>
  <conditionalFormatting sqref="G104">
    <cfRule type="expression" dxfId="80" priority="7">
      <formula>IF($G$104&lt;&gt;$M$101,1)</formula>
    </cfRule>
  </conditionalFormatting>
  <conditionalFormatting sqref="G105">
    <cfRule type="expression" dxfId="79" priority="8" stopIfTrue="1">
      <formula>IF($G$105&lt;&gt;$N$101,1)</formula>
    </cfRule>
  </conditionalFormatting>
  <conditionalFormatting sqref="G106">
    <cfRule type="expression" dxfId="78" priority="6">
      <formula>IF($G$106&lt;&gt;$O$101,1)</formula>
    </cfRule>
  </conditionalFormatting>
  <conditionalFormatting sqref="H104">
    <cfRule type="expression" dxfId="77" priority="4">
      <formula>IF($H$104&lt;&gt;$M$101,1)</formula>
    </cfRule>
  </conditionalFormatting>
  <conditionalFormatting sqref="H105">
    <cfRule type="expression" dxfId="76" priority="5" stopIfTrue="1">
      <formula>IF($H$105&lt;&gt;$N$101,1)</formula>
    </cfRule>
  </conditionalFormatting>
  <conditionalFormatting sqref="H106">
    <cfRule type="expression" dxfId="75" priority="3">
      <formula>IF($HF$106&lt;&gt;$O$101,1)</formula>
    </cfRule>
  </conditionalFormatting>
  <conditionalFormatting sqref="H39:M40">
    <cfRule type="expression" dxfId="74" priority="23" stopIfTrue="1">
      <formula>IF($C$12="LUCRO PRESUMIDO",1)</formula>
    </cfRule>
  </conditionalFormatting>
  <conditionalFormatting sqref="I107">
    <cfRule type="expression" dxfId="73" priority="34" stopIfTrue="1">
      <formula>IF(#REF!&lt;&gt;0,1)</formula>
    </cfRule>
  </conditionalFormatting>
  <conditionalFormatting sqref="J12">
    <cfRule type="expression" dxfId="72" priority="30" stopIfTrue="1">
      <formula>IF($J$12="Selecionar",1,IF($J$12="",1))</formula>
    </cfRule>
  </conditionalFormatting>
  <conditionalFormatting sqref="K48">
    <cfRule type="expression" dxfId="71" priority="25" stopIfTrue="1">
      <formula>IF(K48=0,1)</formula>
    </cfRule>
  </conditionalFormatting>
  <conditionalFormatting sqref="K44:M46">
    <cfRule type="expression" dxfId="70" priority="18" stopIfTrue="1">
      <formula>IF($C$12="LUCRO PRESUMIDO",1)</formula>
    </cfRule>
  </conditionalFormatting>
  <conditionalFormatting sqref="K47:M47">
    <cfRule type="expression" dxfId="69" priority="16" stopIfTrue="1">
      <formula>IF(K47=0,1)</formula>
    </cfRule>
  </conditionalFormatting>
  <conditionalFormatting sqref="K49:M52">
    <cfRule type="expression" dxfId="68" priority="24" stopIfTrue="1">
      <formula>IF($C$12="LUCRO PRESUMIDO",1)</formula>
    </cfRule>
  </conditionalFormatting>
  <conditionalFormatting sqref="L72">
    <cfRule type="expression" dxfId="67" priority="26" stopIfTrue="1">
      <formula>IF($F$72&lt;&gt;$G$72+$H$72+$I$72,1)</formula>
    </cfRule>
  </conditionalFormatting>
  <conditionalFormatting sqref="L20:M20">
    <cfRule type="expression" dxfId="66" priority="20" stopIfTrue="1">
      <formula>IF($C$12="LUCRO PRESUMIDO",IF($F$12="NÃO CUMULATIVO",1))</formula>
    </cfRule>
  </conditionalFormatting>
  <conditionalFormatting sqref="L22:M26">
    <cfRule type="expression" dxfId="65" priority="19" stopIfTrue="1">
      <formula>IF($C$12="LUCRO PRESUMIDO",IF($F$12="NÃO CUMULATIVO",1))</formula>
    </cfRule>
  </conditionalFormatting>
  <conditionalFormatting sqref="L28:M33">
    <cfRule type="expression" dxfId="64" priority="14" stopIfTrue="1">
      <formula>IF($C$12="LUCRO PRESUMIDO",IF($F$12="NÃO CUMULATIVO",1))</formula>
    </cfRule>
  </conditionalFormatting>
  <conditionalFormatting sqref="L48:M48">
    <cfRule type="expression" dxfId="63" priority="15" stopIfTrue="1">
      <formula>IF($C$12="LUCRO PRESUMIDO",1)</formula>
    </cfRule>
  </conditionalFormatting>
  <conditionalFormatting sqref="M12">
    <cfRule type="expression" dxfId="62" priority="17" stopIfTrue="1">
      <formula>IF($M$12="Selecionar",1,IF($M$12="",1))</formula>
    </cfRule>
  </conditionalFormatting>
  <conditionalFormatting sqref="M13">
    <cfRule type="expression" dxfId="61" priority="21" stopIfTrue="1">
      <formula>IF($M$13="",1)</formula>
    </cfRule>
  </conditionalFormatting>
  <conditionalFormatting sqref="N11">
    <cfRule type="expression" dxfId="60" priority="1" stopIfTrue="1">
      <formula>IF($N$11="",1)</formula>
    </cfRule>
  </conditionalFormatting>
  <conditionalFormatting sqref="O12">
    <cfRule type="expression" dxfId="59" priority="27" stopIfTrue="1">
      <formula>IF($O$12="Selecionar",1,IF($O$12="",1))</formula>
    </cfRule>
  </conditionalFormatting>
  <conditionalFormatting sqref="O13">
    <cfRule type="expression" dxfId="58" priority="29" stopIfTrue="1">
      <formula>IF($O$13="",1)</formula>
    </cfRule>
  </conditionalFormatting>
  <dataValidations count="11">
    <dataValidation type="list" allowBlank="1" showInputMessage="1" showErrorMessage="1" sqref="F12:G12" xr:uid="{4964B93D-B4DA-431F-8BB7-78D25B1E2639}">
      <formula1>int_Regime</formula1>
    </dataValidation>
    <dataValidation type="list" allowBlank="1" showInputMessage="1" showErrorMessage="1" sqref="J12 M12" xr:uid="{7A18CDBA-E069-4FE1-9051-628A7B480C94}">
      <formula1>"Selecionar, SIM, NÃO"</formula1>
    </dataValidation>
    <dataValidation type="custom" allowBlank="1" showInputMessage="1" showErrorMessage="1" errorTitle="Erro!" error="Empresa não está enquadrada no regime de não cumulatividade" promptTitle="Alerta!" prompt="Verificar se está de acordo com a o §14 do Artigo 3º da Lei 10.833/03 e Artigo 4º da Lei  12.546/2011" sqref="F67 L67" xr:uid="{ED71CF87-0188-426D-BB8A-1AEEEB6C25D1}">
      <formula1>$F$12="NÃO CUMULATIVO"</formula1>
    </dataValidation>
    <dataValidation type="custom" allowBlank="1" showInputMessage="1" showErrorMessage="1" errorTitle="Erro!" error="Empresa não está enquadrada no regime de não cumulatividade" sqref="F68:F71 L68:L71 L58:L66 F58:F66" xr:uid="{1D330057-E647-4F59-B1DC-7475832116DD}">
      <formula1>$F$12="NÃO CUMULATIVO"</formula1>
    </dataValidation>
    <dataValidation type="list" allowBlank="1" showInputMessage="1" showErrorMessage="1" sqref="H12" xr:uid="{68E4B224-985A-476B-B82C-1C8EAAF1800C}">
      <formula1>#REF!</formula1>
    </dataValidation>
    <dataValidation allowBlank="1" showInputMessage="1" showErrorMessage="1" promptTitle="Alerta!" prompt="Preencher somente com números" sqref="N11:O11" xr:uid="{BAFC482A-6FFB-4E55-86A3-D92A104C12E5}"/>
    <dataValidation type="decimal" operator="greaterThan" allowBlank="1" showInputMessage="1" showErrorMessage="1" errorTitle="Valor Inválido" error="Inserir  somente número positivo" sqref="E24" xr:uid="{980F8AB8-CF39-4E79-8FD5-C86399F158E2}">
      <formula1>0</formula1>
    </dataValidation>
    <dataValidation type="list" allowBlank="1" showInputMessage="1" showErrorMessage="1" sqref="E13:K13" xr:uid="{C9AE975F-B486-433A-93A4-B7F4B25EF811}">
      <formula1>int_MetodoRateio</formula1>
    </dataValidation>
    <dataValidation type="list" allowBlank="1" showInputMessage="1" showErrorMessage="1" sqref="O12" xr:uid="{09550E7E-4707-4EC8-B3A4-C78190F4872D}">
      <formula1>int_CPRB.Perc</formula1>
    </dataValidation>
    <dataValidation type="list" allowBlank="1" showInputMessage="1" showErrorMessage="1" sqref="C12:D12" xr:uid="{244E4440-8AB5-4F68-BC38-D1BDB0F06C56}">
      <formula1>int_Tributacao</formula1>
    </dataValidation>
    <dataValidation type="decimal" operator="lessThanOrEqual" allowBlank="1" showInputMessage="1" showErrorMessage="1" errorTitle="Valor Inválido" error="Inserir somente número negativo" sqref="L89:N90 E23:J23 H28:J33 H80:J81 L80:N81 H89:J90 E28:F33 M96:O100" xr:uid="{E5F36AF1-6C1C-4684-8149-4D1FA776F163}">
      <formula1>0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5" orientation="portrait" r:id="rId1"/>
  <headerFooter alignWithMargins="0">
    <oddFooter>&amp;R
&amp;Z&amp;F &amp;D &amp;T</oddFooter>
  </headerFooter>
  <rowBreaks count="1" manualBreakCount="1">
    <brk id="10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8971-D460-4E1E-B7DC-3526EC5A91FC}">
  <sheetPr>
    <tabColor theme="3" tint="0.39997558519241921"/>
  </sheetPr>
  <dimension ref="A1:Q120"/>
  <sheetViews>
    <sheetView showGridLines="0" zoomScale="85" zoomScaleNormal="85" workbookViewId="0">
      <selection activeCell="B7" sqref="B7:M8"/>
    </sheetView>
  </sheetViews>
  <sheetFormatPr defaultColWidth="7.88671875" defaultRowHeight="18" customHeight="1"/>
  <cols>
    <col min="1" max="1" width="4" style="13" customWidth="1"/>
    <col min="2" max="2" width="13.33203125" style="13" customWidth="1"/>
    <col min="3" max="3" width="13.109375" style="13" customWidth="1"/>
    <col min="4" max="4" width="8" style="13" customWidth="1"/>
    <col min="5" max="5" width="13.6640625" style="13" customWidth="1"/>
    <col min="6" max="6" width="14.6640625" style="13" customWidth="1"/>
    <col min="7" max="7" width="12.88671875" style="382" customWidth="1"/>
    <col min="8" max="11" width="15.6640625" style="382" customWidth="1"/>
    <col min="12" max="13" width="15.6640625" style="13" customWidth="1"/>
    <col min="14" max="14" width="13.33203125" style="13" customWidth="1"/>
    <col min="15" max="15" width="15.6640625" style="13" customWidth="1"/>
    <col min="16" max="16" width="12.33203125" style="13" customWidth="1"/>
    <col min="17" max="17" width="15.44140625" style="13" customWidth="1"/>
    <col min="18" max="16384" width="7.88671875" style="13"/>
  </cols>
  <sheetData>
    <row r="1" spans="2:16" s="2" customFormat="1" ht="11.25" customHeight="1">
      <c r="D1" s="3"/>
      <c r="G1" s="4"/>
      <c r="H1" s="4"/>
      <c r="I1" s="4"/>
      <c r="L1" s="5"/>
      <c r="M1" s="5"/>
    </row>
    <row r="2" spans="2:16" s="2" customFormat="1" ht="11.25" customHeight="1">
      <c r="D2" s="3"/>
      <c r="G2" s="4"/>
      <c r="H2" s="4"/>
      <c r="I2" s="4"/>
      <c r="L2" s="5"/>
      <c r="M2" s="5"/>
    </row>
    <row r="3" spans="2:16" s="2" customFormat="1" ht="11.25" customHeight="1">
      <c r="D3" s="3"/>
      <c r="G3" s="4"/>
      <c r="H3" s="4"/>
      <c r="I3" s="4"/>
      <c r="L3" s="5"/>
      <c r="M3" s="5"/>
    </row>
    <row r="4" spans="2:16" s="2" customFormat="1" ht="11.25" customHeight="1">
      <c r="D4" s="3"/>
      <c r="G4" s="4"/>
      <c r="H4" s="4"/>
      <c r="I4" s="4"/>
      <c r="L4" s="5"/>
      <c r="M4" s="5"/>
    </row>
    <row r="5" spans="2:16" s="2" customFormat="1" ht="11.25" customHeight="1">
      <c r="D5" s="3"/>
      <c r="G5" s="4"/>
      <c r="H5" s="4"/>
      <c r="I5" s="4"/>
      <c r="L5" s="5"/>
      <c r="M5" s="5"/>
    </row>
    <row r="6" spans="2:16" s="2" customFormat="1" ht="11.25" customHeight="1">
      <c r="D6" s="3"/>
      <c r="G6" s="4"/>
      <c r="H6" s="4"/>
      <c r="I6" s="4"/>
      <c r="L6" s="5"/>
      <c r="M6" s="5"/>
    </row>
    <row r="7" spans="2:16" s="2" customFormat="1" ht="30" customHeight="1">
      <c r="B7" s="6" t="s"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 t="s">
        <v>1</v>
      </c>
      <c r="O7" s="8"/>
    </row>
    <row r="8" spans="2:16" ht="26.25" customHeight="1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0"/>
      <c r="N8" s="11" t="s">
        <v>2</v>
      </c>
      <c r="O8" s="12" t="s">
        <v>3</v>
      </c>
    </row>
    <row r="9" spans="2:16" ht="15" customHeight="1">
      <c r="B9" s="14" t="s">
        <v>4</v>
      </c>
      <c r="C9" s="15"/>
      <c r="D9" s="16" t="s">
        <v>5</v>
      </c>
      <c r="E9" s="17"/>
      <c r="F9" s="17"/>
      <c r="G9" s="17"/>
      <c r="H9" s="18" t="s">
        <v>6</v>
      </c>
      <c r="I9" s="17"/>
      <c r="J9" s="17"/>
      <c r="K9" s="17"/>
      <c r="L9" s="19"/>
      <c r="M9" s="20" t="s">
        <v>7</v>
      </c>
      <c r="N9" s="21"/>
      <c r="O9" s="22"/>
    </row>
    <row r="10" spans="2:16" ht="15" customHeight="1">
      <c r="B10" s="23"/>
      <c r="C10" s="24"/>
      <c r="D10" s="17"/>
      <c r="E10" s="17"/>
      <c r="F10" s="17"/>
      <c r="G10" s="17"/>
      <c r="H10" s="17"/>
      <c r="I10" s="17"/>
      <c r="J10" s="17"/>
      <c r="K10" s="17"/>
      <c r="L10" s="19"/>
      <c r="M10" s="25" t="s">
        <v>8</v>
      </c>
      <c r="N10" s="26">
        <v>46242.941720370371</v>
      </c>
      <c r="O10" s="27"/>
    </row>
    <row r="11" spans="2:16" ht="14.25" customHeight="1">
      <c r="B11" s="28" t="s">
        <v>9</v>
      </c>
      <c r="C11" s="29" t="s">
        <v>10</v>
      </c>
      <c r="D11" s="29"/>
      <c r="E11" s="29"/>
      <c r="F11" s="29"/>
      <c r="G11" s="29"/>
      <c r="H11" s="29"/>
      <c r="I11" s="29"/>
      <c r="J11" s="29"/>
      <c r="K11" s="29"/>
      <c r="L11" s="29"/>
      <c r="M11" s="30" t="s">
        <v>11</v>
      </c>
      <c r="N11" s="31">
        <v>86704160000137</v>
      </c>
      <c r="O11" s="32"/>
    </row>
    <row r="12" spans="2:16" s="42" customFormat="1" ht="14.25" customHeight="1">
      <c r="B12" s="34" t="s">
        <v>12</v>
      </c>
      <c r="C12" s="35" t="s">
        <v>13</v>
      </c>
      <c r="D12" s="35"/>
      <c r="E12" s="36" t="s">
        <v>14</v>
      </c>
      <c r="F12" s="35" t="s">
        <v>157</v>
      </c>
      <c r="G12" s="35"/>
      <c r="H12" s="37"/>
      <c r="I12" s="38" t="s">
        <v>16</v>
      </c>
      <c r="J12" s="39" t="s">
        <v>17</v>
      </c>
      <c r="K12" s="40"/>
      <c r="L12" s="38" t="s">
        <v>18</v>
      </c>
      <c r="M12" s="39" t="s">
        <v>19</v>
      </c>
      <c r="N12" s="38" t="s">
        <v>20</v>
      </c>
      <c r="O12" s="41">
        <v>0</v>
      </c>
    </row>
    <row r="13" spans="2:16" s="42" customFormat="1" ht="14.25" customHeight="1" thickBot="1">
      <c r="B13" s="43" t="s">
        <v>21</v>
      </c>
      <c r="C13" s="44"/>
      <c r="D13" s="45"/>
      <c r="E13" s="46" t="s">
        <v>22</v>
      </c>
      <c r="F13" s="46"/>
      <c r="G13" s="46"/>
      <c r="H13" s="46"/>
      <c r="I13" s="46"/>
      <c r="J13" s="46"/>
      <c r="K13" s="46"/>
      <c r="L13" s="47" t="s">
        <v>23</v>
      </c>
      <c r="M13" s="48">
        <v>46143</v>
      </c>
      <c r="N13" s="44" t="s">
        <v>24</v>
      </c>
      <c r="O13" s="49">
        <v>46242.941720370371</v>
      </c>
    </row>
    <row r="14" spans="2:16" s="42" customFormat="1" ht="2.25" customHeight="1" thickBot="1">
      <c r="B14" s="50"/>
      <c r="C14" s="50"/>
      <c r="P14" s="51"/>
    </row>
    <row r="15" spans="2:16" s="42" customFormat="1" ht="20.100000000000001" customHeight="1" thickBot="1">
      <c r="B15" s="52" t="s">
        <v>25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4"/>
    </row>
    <row r="16" spans="2:16" ht="2.25" customHeight="1" thickBot="1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</row>
    <row r="17" spans="1:17" s="37" customFormat="1" ht="20.100000000000001" customHeight="1" thickBot="1">
      <c r="B17" s="57" t="s">
        <v>26</v>
      </c>
      <c r="C17" s="58"/>
      <c r="D17" s="58"/>
      <c r="E17" s="58"/>
      <c r="F17" s="58"/>
      <c r="G17" s="58"/>
      <c r="H17" s="59" t="s">
        <v>27</v>
      </c>
      <c r="I17" s="58"/>
      <c r="J17" s="60"/>
      <c r="K17" s="59" t="s">
        <v>28</v>
      </c>
      <c r="L17" s="58"/>
      <c r="M17" s="60"/>
      <c r="N17" s="58" t="s">
        <v>29</v>
      </c>
      <c r="O17" s="61"/>
    </row>
    <row r="18" spans="1:17" s="42" customFormat="1" ht="20.100000000000001" customHeight="1">
      <c r="B18" s="62" t="s">
        <v>30</v>
      </c>
      <c r="C18" s="63"/>
      <c r="D18" s="64"/>
      <c r="E18" s="65" t="s">
        <v>31</v>
      </c>
      <c r="F18" s="66" t="s">
        <v>32</v>
      </c>
      <c r="G18" s="67" t="s">
        <v>33</v>
      </c>
      <c r="H18" s="68" t="s">
        <v>34</v>
      </c>
      <c r="I18" s="67" t="s">
        <v>35</v>
      </c>
      <c r="J18" s="69" t="s">
        <v>36</v>
      </c>
      <c r="K18" s="68" t="s">
        <v>37</v>
      </c>
      <c r="L18" s="66" t="s">
        <v>38</v>
      </c>
      <c r="M18" s="70" t="s">
        <v>39</v>
      </c>
      <c r="N18" s="71" t="s">
        <v>40</v>
      </c>
      <c r="O18" s="72" t="s">
        <v>41</v>
      </c>
    </row>
    <row r="19" spans="1:17" s="42" customFormat="1" ht="39.6">
      <c r="B19" s="74"/>
      <c r="C19" s="75"/>
      <c r="D19" s="76"/>
      <c r="E19" s="77" t="s">
        <v>42</v>
      </c>
      <c r="F19" s="78" t="s">
        <v>43</v>
      </c>
      <c r="G19" s="79" t="s">
        <v>44</v>
      </c>
      <c r="H19" s="80" t="s">
        <v>45</v>
      </c>
      <c r="I19" s="78" t="s">
        <v>46</v>
      </c>
      <c r="J19" s="81" t="s">
        <v>47</v>
      </c>
      <c r="K19" s="82" t="s">
        <v>48</v>
      </c>
      <c r="L19" s="78" t="s">
        <v>49</v>
      </c>
      <c r="M19" s="83" t="s">
        <v>50</v>
      </c>
      <c r="N19" s="84" t="s">
        <v>51</v>
      </c>
      <c r="O19" s="85" t="s">
        <v>52</v>
      </c>
    </row>
    <row r="20" spans="1:17" s="42" customFormat="1" ht="14.25" customHeight="1" thickBot="1">
      <c r="B20" s="86" t="s">
        <v>53</v>
      </c>
      <c r="C20" s="87"/>
      <c r="D20" s="88"/>
      <c r="E20" s="89">
        <v>0</v>
      </c>
      <c r="F20" s="90">
        <v>1</v>
      </c>
      <c r="G20" s="91">
        <v>1</v>
      </c>
      <c r="H20" s="92">
        <v>1</v>
      </c>
      <c r="I20" s="93">
        <v>0</v>
      </c>
      <c r="J20" s="94">
        <v>0</v>
      </c>
      <c r="K20" s="95"/>
      <c r="L20" s="96">
        <v>1.6500000000000001E-2</v>
      </c>
      <c r="M20" s="97">
        <v>7.5999999999999998E-2</v>
      </c>
      <c r="N20" s="98"/>
      <c r="O20" s="99">
        <v>0</v>
      </c>
    </row>
    <row r="21" spans="1:17" s="40" customFormat="1" ht="18" customHeight="1" thickBot="1">
      <c r="B21" s="101" t="s">
        <v>54</v>
      </c>
      <c r="C21" s="102"/>
      <c r="D21" s="103"/>
      <c r="E21" s="104">
        <v>0</v>
      </c>
      <c r="F21" s="105">
        <v>183356.58000000002</v>
      </c>
      <c r="G21" s="106">
        <v>183356.58000000002</v>
      </c>
      <c r="H21" s="107">
        <v>183356.58000000002</v>
      </c>
      <c r="I21" s="105">
        <v>0</v>
      </c>
      <c r="J21" s="108">
        <v>0</v>
      </c>
      <c r="K21" s="109">
        <v>183356.58000000002</v>
      </c>
      <c r="L21" s="105">
        <v>3025.3835700000004</v>
      </c>
      <c r="M21" s="108">
        <v>13935.10008</v>
      </c>
      <c r="N21" s="104">
        <v>0</v>
      </c>
      <c r="O21" s="110">
        <v>0</v>
      </c>
    </row>
    <row r="22" spans="1:17" s="42" customFormat="1" ht="15" customHeight="1">
      <c r="A22" s="42" t="s">
        <v>55</v>
      </c>
      <c r="B22" s="111" t="s">
        <v>55</v>
      </c>
      <c r="C22" s="112"/>
      <c r="D22" s="113"/>
      <c r="E22" s="114"/>
      <c r="F22" s="125">
        <v>0</v>
      </c>
      <c r="G22" s="116">
        <v>0</v>
      </c>
      <c r="H22" s="114">
        <v>0</v>
      </c>
      <c r="I22" s="115">
        <v>0</v>
      </c>
      <c r="J22" s="114">
        <v>0</v>
      </c>
      <c r="K22" s="117">
        <v>0</v>
      </c>
      <c r="L22" s="118">
        <v>0</v>
      </c>
      <c r="M22" s="118">
        <v>0</v>
      </c>
      <c r="N22" s="119">
        <v>0</v>
      </c>
      <c r="O22" s="120">
        <v>0</v>
      </c>
      <c r="Q22" s="407" t="s">
        <v>158</v>
      </c>
    </row>
    <row r="23" spans="1:17" s="42" customFormat="1" ht="15" customHeight="1">
      <c r="A23" s="42" t="s">
        <v>57</v>
      </c>
      <c r="B23" s="122" t="s">
        <v>57</v>
      </c>
      <c r="C23" s="123"/>
      <c r="D23" s="124"/>
      <c r="E23" s="114">
        <v>0</v>
      </c>
      <c r="F23" s="125">
        <v>0</v>
      </c>
      <c r="G23" s="126">
        <v>0</v>
      </c>
      <c r="H23" s="127">
        <v>0</v>
      </c>
      <c r="I23" s="115">
        <v>0</v>
      </c>
      <c r="J23" s="128">
        <v>0</v>
      </c>
      <c r="K23" s="117">
        <v>0</v>
      </c>
      <c r="L23" s="118">
        <v>0</v>
      </c>
      <c r="M23" s="118">
        <v>0</v>
      </c>
      <c r="N23" s="119">
        <v>0</v>
      </c>
      <c r="O23" s="120">
        <v>0</v>
      </c>
    </row>
    <row r="24" spans="1:17" s="42" customFormat="1" ht="14.4" customHeight="1">
      <c r="A24" s="42" t="s">
        <v>59</v>
      </c>
      <c r="B24" s="122" t="s">
        <v>59</v>
      </c>
      <c r="C24" s="123"/>
      <c r="D24" s="124"/>
      <c r="E24" s="114">
        <v>0</v>
      </c>
      <c r="F24" s="125">
        <v>0</v>
      </c>
      <c r="G24" s="126">
        <v>0</v>
      </c>
      <c r="H24" s="129">
        <v>0</v>
      </c>
      <c r="I24" s="115">
        <v>0</v>
      </c>
      <c r="J24" s="128">
        <v>0</v>
      </c>
      <c r="K24" s="130">
        <v>0</v>
      </c>
      <c r="L24" s="118">
        <v>0</v>
      </c>
      <c r="M24" s="118">
        <v>0</v>
      </c>
      <c r="N24" s="119">
        <v>0</v>
      </c>
      <c r="O24" s="120">
        <v>0</v>
      </c>
    </row>
    <row r="25" spans="1:17" s="42" customFormat="1" ht="15" customHeight="1">
      <c r="A25" s="42" t="s">
        <v>159</v>
      </c>
      <c r="B25" s="131" t="s">
        <v>159</v>
      </c>
      <c r="C25" s="132"/>
      <c r="D25" s="133"/>
      <c r="E25" s="114">
        <v>0</v>
      </c>
      <c r="F25" s="125">
        <v>183356.58000000002</v>
      </c>
      <c r="G25" s="126">
        <v>183356.58000000002</v>
      </c>
      <c r="H25" s="127">
        <v>183356.58000000002</v>
      </c>
      <c r="I25" s="115">
        <v>0</v>
      </c>
      <c r="J25" s="128">
        <v>0</v>
      </c>
      <c r="K25" s="130">
        <v>183356.58000000002</v>
      </c>
      <c r="L25" s="118">
        <v>3025.3835700000004</v>
      </c>
      <c r="M25" s="118">
        <v>13935.10008</v>
      </c>
      <c r="N25" s="119">
        <v>0</v>
      </c>
      <c r="O25" s="120">
        <v>0</v>
      </c>
    </row>
    <row r="26" spans="1:17" s="42" customFormat="1" ht="15" customHeight="1" thickBot="1">
      <c r="A26" s="42" t="s">
        <v>62</v>
      </c>
      <c r="B26" s="131" t="s">
        <v>63</v>
      </c>
      <c r="C26" s="132"/>
      <c r="D26" s="133"/>
      <c r="E26" s="114">
        <v>0</v>
      </c>
      <c r="F26" s="125">
        <v>0</v>
      </c>
      <c r="G26" s="126">
        <v>0</v>
      </c>
      <c r="H26" s="127">
        <v>0</v>
      </c>
      <c r="I26" s="115">
        <v>0</v>
      </c>
      <c r="J26" s="128">
        <v>0</v>
      </c>
      <c r="K26" s="130">
        <v>0</v>
      </c>
      <c r="L26" s="118">
        <v>0</v>
      </c>
      <c r="M26" s="118">
        <v>0</v>
      </c>
      <c r="N26" s="119">
        <v>0</v>
      </c>
      <c r="O26" s="120">
        <v>0</v>
      </c>
    </row>
    <row r="27" spans="1:17" s="100" customFormat="1" ht="18" customHeight="1" thickBot="1">
      <c r="A27" s="40" t="s">
        <v>64</v>
      </c>
      <c r="B27" s="101" t="s">
        <v>64</v>
      </c>
      <c r="C27" s="102"/>
      <c r="D27" s="103"/>
      <c r="E27" s="134">
        <v>0</v>
      </c>
      <c r="F27" s="105">
        <v>7965.97</v>
      </c>
      <c r="G27" s="134">
        <v>7965.97</v>
      </c>
      <c r="H27" s="107">
        <v>0</v>
      </c>
      <c r="I27" s="105">
        <v>0</v>
      </c>
      <c r="J27" s="108">
        <v>0</v>
      </c>
      <c r="K27" s="109">
        <v>7965.97</v>
      </c>
      <c r="L27" s="105">
        <v>131.43850500000002</v>
      </c>
      <c r="M27" s="108">
        <v>605.41372000000001</v>
      </c>
      <c r="N27" s="104">
        <v>0</v>
      </c>
      <c r="O27" s="110">
        <v>0</v>
      </c>
    </row>
    <row r="28" spans="1:17" s="42" customFormat="1" ht="15" customHeight="1">
      <c r="A28" s="42" t="s">
        <v>65</v>
      </c>
      <c r="B28" s="111" t="s">
        <v>65</v>
      </c>
      <c r="C28" s="112"/>
      <c r="D28" s="113"/>
      <c r="E28" s="135">
        <v>0</v>
      </c>
      <c r="F28" s="125">
        <v>7965.97</v>
      </c>
      <c r="G28" s="126">
        <v>7965.97</v>
      </c>
      <c r="H28" s="127">
        <v>0</v>
      </c>
      <c r="I28" s="115">
        <v>0</v>
      </c>
      <c r="J28" s="128">
        <v>0</v>
      </c>
      <c r="K28" s="117">
        <v>7965.97</v>
      </c>
      <c r="L28" s="118">
        <v>131.43850500000002</v>
      </c>
      <c r="M28" s="118">
        <v>605.41372000000001</v>
      </c>
      <c r="N28" s="137">
        <v>0</v>
      </c>
      <c r="O28" s="120">
        <v>0</v>
      </c>
    </row>
    <row r="29" spans="1:17" s="42" customFormat="1" ht="15" customHeight="1">
      <c r="A29" s="42" t="s">
        <v>66</v>
      </c>
      <c r="B29" s="122" t="s">
        <v>66</v>
      </c>
      <c r="C29" s="123"/>
      <c r="D29" s="124"/>
      <c r="E29" s="138">
        <v>0</v>
      </c>
      <c r="F29" s="125">
        <v>0</v>
      </c>
      <c r="G29" s="126">
        <v>0</v>
      </c>
      <c r="H29" s="139">
        <v>0</v>
      </c>
      <c r="I29" s="125">
        <v>0</v>
      </c>
      <c r="J29" s="140">
        <v>0</v>
      </c>
      <c r="K29" s="117">
        <v>0</v>
      </c>
      <c r="L29" s="118">
        <v>0</v>
      </c>
      <c r="M29" s="118">
        <v>0</v>
      </c>
      <c r="N29" s="137">
        <v>0</v>
      </c>
      <c r="O29" s="120">
        <v>0</v>
      </c>
      <c r="Q29" s="42" t="s">
        <v>67</v>
      </c>
    </row>
    <row r="30" spans="1:17" s="42" customFormat="1" ht="15" customHeight="1">
      <c r="A30" s="42" t="s">
        <v>68</v>
      </c>
      <c r="B30" s="122" t="s">
        <v>68</v>
      </c>
      <c r="C30" s="123"/>
      <c r="D30" s="124"/>
      <c r="E30" s="138">
        <v>0</v>
      </c>
      <c r="F30" s="125">
        <v>0</v>
      </c>
      <c r="G30" s="126">
        <v>0</v>
      </c>
      <c r="H30" s="139">
        <v>0</v>
      </c>
      <c r="I30" s="125">
        <v>0</v>
      </c>
      <c r="J30" s="140">
        <v>0</v>
      </c>
      <c r="K30" s="117">
        <v>0</v>
      </c>
      <c r="L30" s="118">
        <v>0</v>
      </c>
      <c r="M30" s="118">
        <v>0</v>
      </c>
      <c r="N30" s="137">
        <v>0</v>
      </c>
      <c r="O30" s="120">
        <v>0</v>
      </c>
    </row>
    <row r="31" spans="1:17" s="42" customFormat="1" ht="15" customHeight="1">
      <c r="A31" s="42" t="s">
        <v>69</v>
      </c>
      <c r="B31" s="122" t="s">
        <v>69</v>
      </c>
      <c r="C31" s="123"/>
      <c r="D31" s="124"/>
      <c r="E31" s="138">
        <v>0</v>
      </c>
      <c r="F31" s="125">
        <v>0</v>
      </c>
      <c r="G31" s="126">
        <v>0</v>
      </c>
      <c r="H31" s="139">
        <v>0</v>
      </c>
      <c r="I31" s="125">
        <v>0</v>
      </c>
      <c r="J31" s="140">
        <v>0</v>
      </c>
      <c r="K31" s="117">
        <v>0</v>
      </c>
      <c r="L31" s="118">
        <v>0</v>
      </c>
      <c r="M31" s="118">
        <v>0</v>
      </c>
      <c r="N31" s="137">
        <v>0</v>
      </c>
      <c r="O31" s="120">
        <v>0</v>
      </c>
    </row>
    <row r="32" spans="1:17" s="42" customFormat="1" ht="15" customHeight="1">
      <c r="A32" s="42" t="s">
        <v>70</v>
      </c>
      <c r="B32" s="142" t="s">
        <v>70</v>
      </c>
      <c r="C32" s="143"/>
      <c r="D32" s="144"/>
      <c r="E32" s="138">
        <v>0</v>
      </c>
      <c r="F32" s="125">
        <v>0</v>
      </c>
      <c r="G32" s="126">
        <v>0</v>
      </c>
      <c r="H32" s="139">
        <v>0</v>
      </c>
      <c r="I32" s="125">
        <v>0</v>
      </c>
      <c r="J32" s="140">
        <v>0</v>
      </c>
      <c r="K32" s="117">
        <v>0</v>
      </c>
      <c r="L32" s="118">
        <v>0</v>
      </c>
      <c r="M32" s="118">
        <v>0</v>
      </c>
      <c r="N32" s="137">
        <v>0</v>
      </c>
      <c r="O32" s="120">
        <v>0</v>
      </c>
    </row>
    <row r="33" spans="1:15" s="42" customFormat="1" ht="15" customHeight="1" thickBot="1">
      <c r="A33" s="42" t="s">
        <v>71</v>
      </c>
      <c r="B33" s="145" t="s">
        <v>71</v>
      </c>
      <c r="C33" s="146"/>
      <c r="D33" s="147"/>
      <c r="E33" s="148">
        <v>0</v>
      </c>
      <c r="F33" s="149">
        <v>0</v>
      </c>
      <c r="G33" s="126">
        <v>0</v>
      </c>
      <c r="H33" s="150">
        <v>0</v>
      </c>
      <c r="I33" s="151">
        <v>0</v>
      </c>
      <c r="J33" s="152">
        <v>0</v>
      </c>
      <c r="K33" s="153">
        <v>0</v>
      </c>
      <c r="L33" s="154">
        <v>0</v>
      </c>
      <c r="M33" s="154">
        <v>0</v>
      </c>
      <c r="N33" s="137">
        <v>0</v>
      </c>
      <c r="O33" s="120">
        <v>0</v>
      </c>
    </row>
    <row r="34" spans="1:15" s="100" customFormat="1" ht="18" customHeight="1" thickBot="1">
      <c r="A34" s="40" t="s">
        <v>72</v>
      </c>
      <c r="B34" s="101" t="s">
        <v>72</v>
      </c>
      <c r="C34" s="102"/>
      <c r="D34" s="103"/>
      <c r="E34" s="134">
        <v>0</v>
      </c>
      <c r="F34" s="105">
        <v>0</v>
      </c>
      <c r="G34" s="134">
        <v>0</v>
      </c>
      <c r="H34" s="107">
        <v>0</v>
      </c>
      <c r="I34" s="105">
        <v>0</v>
      </c>
      <c r="J34" s="108">
        <v>0</v>
      </c>
      <c r="K34" s="109">
        <v>0</v>
      </c>
      <c r="L34" s="105">
        <v>0</v>
      </c>
      <c r="M34" s="155">
        <v>0</v>
      </c>
      <c r="N34" s="104">
        <v>0</v>
      </c>
      <c r="O34" s="110">
        <v>0</v>
      </c>
    </row>
    <row r="35" spans="1:15" s="42" customFormat="1" ht="15" customHeight="1">
      <c r="A35" s="42" t="s">
        <v>73</v>
      </c>
      <c r="B35" s="156" t="s">
        <v>73</v>
      </c>
      <c r="C35" s="157"/>
      <c r="D35" s="158"/>
      <c r="E35" s="159">
        <v>0</v>
      </c>
      <c r="F35" s="125">
        <v>0</v>
      </c>
      <c r="G35" s="126">
        <v>0</v>
      </c>
      <c r="H35" s="160">
        <v>0</v>
      </c>
      <c r="I35" s="161">
        <v>0</v>
      </c>
      <c r="J35" s="162">
        <v>0</v>
      </c>
      <c r="K35" s="163">
        <v>0</v>
      </c>
      <c r="L35" s="154">
        <v>0</v>
      </c>
      <c r="M35" s="164">
        <v>0</v>
      </c>
      <c r="N35" s="165">
        <v>0</v>
      </c>
      <c r="O35" s="166">
        <v>0</v>
      </c>
    </row>
    <row r="36" spans="1:15" s="42" customFormat="1" ht="15" customHeight="1">
      <c r="A36" s="42" t="s">
        <v>74</v>
      </c>
      <c r="B36" s="156" t="s">
        <v>74</v>
      </c>
      <c r="C36" s="157"/>
      <c r="D36" s="158"/>
      <c r="E36" s="159">
        <v>0</v>
      </c>
      <c r="F36" s="115">
        <v>0</v>
      </c>
      <c r="G36" s="126">
        <v>0</v>
      </c>
      <c r="H36" s="160">
        <v>0</v>
      </c>
      <c r="I36" s="161">
        <v>0</v>
      </c>
      <c r="J36" s="162">
        <v>0</v>
      </c>
      <c r="K36" s="163">
        <v>0</v>
      </c>
      <c r="L36" s="154">
        <v>0</v>
      </c>
      <c r="M36" s="164">
        <v>0</v>
      </c>
      <c r="N36" s="165">
        <v>0</v>
      </c>
      <c r="O36" s="166">
        <v>0</v>
      </c>
    </row>
    <row r="37" spans="1:15" s="42" customFormat="1" ht="15" customHeight="1" thickBot="1">
      <c r="A37" s="42" t="s">
        <v>75</v>
      </c>
      <c r="B37" s="167" t="s">
        <v>76</v>
      </c>
      <c r="C37" s="168"/>
      <c r="D37" s="169"/>
      <c r="E37" s="159">
        <v>0</v>
      </c>
      <c r="F37" s="125">
        <v>0</v>
      </c>
      <c r="G37" s="126">
        <v>0</v>
      </c>
      <c r="H37" s="160">
        <v>0</v>
      </c>
      <c r="I37" s="161">
        <v>0</v>
      </c>
      <c r="J37" s="162">
        <v>0</v>
      </c>
      <c r="K37" s="163">
        <v>0</v>
      </c>
      <c r="L37" s="154">
        <v>0</v>
      </c>
      <c r="M37" s="164">
        <v>0</v>
      </c>
      <c r="N37" s="165">
        <v>0</v>
      </c>
      <c r="O37" s="166">
        <v>0</v>
      </c>
    </row>
    <row r="38" spans="1:15" s="40" customFormat="1" ht="18" customHeight="1" thickBot="1">
      <c r="A38" s="40" t="s">
        <v>77</v>
      </c>
      <c r="B38" s="170" t="s">
        <v>77</v>
      </c>
      <c r="C38" s="171"/>
      <c r="D38" s="172"/>
      <c r="E38" s="134">
        <v>0</v>
      </c>
      <c r="F38" s="105">
        <v>21167.47</v>
      </c>
      <c r="G38" s="134">
        <v>21167.47</v>
      </c>
      <c r="H38" s="107">
        <v>0</v>
      </c>
      <c r="I38" s="105">
        <v>0</v>
      </c>
      <c r="J38" s="108">
        <v>0</v>
      </c>
      <c r="K38" s="109">
        <v>21167.47</v>
      </c>
      <c r="L38" s="105">
        <v>349.26325500000002</v>
      </c>
      <c r="M38" s="108">
        <v>1608.7277200000001</v>
      </c>
      <c r="N38" s="104">
        <v>0</v>
      </c>
      <c r="O38" s="110">
        <v>0</v>
      </c>
    </row>
    <row r="39" spans="1:15" s="42" customFormat="1" ht="15" customHeight="1">
      <c r="A39" s="42" t="s">
        <v>78</v>
      </c>
      <c r="B39" s="111" t="s">
        <v>78</v>
      </c>
      <c r="C39" s="112"/>
      <c r="D39" s="113"/>
      <c r="E39" s="159">
        <v>0</v>
      </c>
      <c r="F39" s="173">
        <v>0</v>
      </c>
      <c r="G39" s="126">
        <v>0</v>
      </c>
      <c r="H39" s="174">
        <v>0</v>
      </c>
      <c r="I39" s="175">
        <v>0</v>
      </c>
      <c r="J39" s="176">
        <v>0</v>
      </c>
      <c r="K39" s="177">
        <v>0</v>
      </c>
      <c r="L39" s="178">
        <v>0</v>
      </c>
      <c r="M39" s="179">
        <v>0</v>
      </c>
      <c r="N39" s="180">
        <v>0</v>
      </c>
      <c r="O39" s="181">
        <v>0</v>
      </c>
    </row>
    <row r="40" spans="1:15" s="42" customFormat="1" ht="15" customHeight="1" thickBot="1">
      <c r="A40" s="42" t="s">
        <v>79</v>
      </c>
      <c r="B40" s="182" t="s">
        <v>79</v>
      </c>
      <c r="C40" s="183"/>
      <c r="D40" s="184"/>
      <c r="E40" s="159">
        <v>0</v>
      </c>
      <c r="F40" s="408">
        <v>21167.47</v>
      </c>
      <c r="G40" s="126">
        <v>21167.47</v>
      </c>
      <c r="H40" s="174">
        <v>0</v>
      </c>
      <c r="I40" s="186">
        <v>0</v>
      </c>
      <c r="J40" s="187">
        <v>0</v>
      </c>
      <c r="K40" s="177">
        <v>21167.47</v>
      </c>
      <c r="L40" s="188">
        <v>349.26325500000002</v>
      </c>
      <c r="M40" s="189">
        <v>1608.7277200000001</v>
      </c>
      <c r="N40" s="180">
        <v>0</v>
      </c>
      <c r="O40" s="181">
        <v>0</v>
      </c>
    </row>
    <row r="41" spans="1:15" s="42" customFormat="1" ht="18" customHeight="1" thickBot="1">
      <c r="A41" s="42" t="s">
        <v>80</v>
      </c>
      <c r="B41" s="101" t="s">
        <v>80</v>
      </c>
      <c r="C41" s="102"/>
      <c r="D41" s="103"/>
      <c r="E41" s="134">
        <v>0</v>
      </c>
      <c r="F41" s="105">
        <v>212490.02000000002</v>
      </c>
      <c r="G41" s="134">
        <v>212490.02000000002</v>
      </c>
      <c r="H41" s="107">
        <v>183356.58000000002</v>
      </c>
      <c r="I41" s="105">
        <v>0</v>
      </c>
      <c r="J41" s="108">
        <v>0</v>
      </c>
      <c r="K41" s="109">
        <v>212490.02000000002</v>
      </c>
      <c r="L41" s="105">
        <v>3506.0853300000003</v>
      </c>
      <c r="M41" s="155">
        <v>16149.241520000001</v>
      </c>
      <c r="N41" s="104">
        <v>0</v>
      </c>
      <c r="O41" s="110">
        <v>0</v>
      </c>
    </row>
    <row r="42" spans="1:15" s="42" customFormat="1" ht="3" customHeight="1" thickBot="1">
      <c r="B42" s="190"/>
      <c r="C42" s="190"/>
      <c r="D42" s="55"/>
      <c r="E42" s="191"/>
      <c r="F42" s="191"/>
      <c r="G42" s="192"/>
      <c r="H42" s="193"/>
      <c r="I42" s="192"/>
      <c r="J42" s="194"/>
      <c r="K42" s="193"/>
      <c r="L42" s="192"/>
      <c r="M42" s="194"/>
      <c r="N42" s="192"/>
      <c r="O42" s="192"/>
    </row>
    <row r="43" spans="1:15" s="42" customFormat="1" ht="18" customHeight="1" thickBot="1">
      <c r="A43" s="42" t="s">
        <v>81</v>
      </c>
      <c r="B43" s="101" t="s">
        <v>81</v>
      </c>
      <c r="C43" s="102"/>
      <c r="D43" s="102"/>
      <c r="E43" s="195">
        <v>0</v>
      </c>
      <c r="F43" s="106">
        <v>19458.020000000015</v>
      </c>
      <c r="G43" s="106">
        <v>19458.020000000015</v>
      </c>
      <c r="H43" s="107">
        <v>0</v>
      </c>
      <c r="I43" s="106">
        <v>0</v>
      </c>
      <c r="J43" s="108">
        <v>0</v>
      </c>
      <c r="K43" s="107">
        <v>19458.020000000015</v>
      </c>
      <c r="L43" s="409">
        <v>126.47713000000009</v>
      </c>
      <c r="M43" s="410">
        <v>778.32080000000065</v>
      </c>
      <c r="N43" s="198">
        <v>0</v>
      </c>
      <c r="O43" s="199">
        <v>0</v>
      </c>
    </row>
    <row r="44" spans="1:15" s="42" customFormat="1" ht="15" customHeight="1">
      <c r="A44" s="42" t="s">
        <v>82</v>
      </c>
      <c r="B44" s="111" t="s">
        <v>82</v>
      </c>
      <c r="C44" s="112"/>
      <c r="D44" s="112"/>
      <c r="E44" s="200">
        <v>0</v>
      </c>
      <c r="F44" s="411">
        <v>8.4700000000000006</v>
      </c>
      <c r="G44" s="126">
        <v>8.4700000000000006</v>
      </c>
      <c r="H44" s="202">
        <v>0</v>
      </c>
      <c r="I44" s="203">
        <v>0</v>
      </c>
      <c r="J44" s="162">
        <v>0</v>
      </c>
      <c r="K44" s="204">
        <v>8.4700000000000006</v>
      </c>
      <c r="L44" s="205">
        <v>5.5055E-2</v>
      </c>
      <c r="M44" s="204">
        <v>0.33880000000000005</v>
      </c>
      <c r="N44" s="202">
        <v>0</v>
      </c>
      <c r="O44" s="181">
        <v>0</v>
      </c>
    </row>
    <row r="45" spans="1:15" s="42" customFormat="1" ht="15" customHeight="1">
      <c r="A45" s="42" t="s">
        <v>83</v>
      </c>
      <c r="B45" s="111" t="s">
        <v>83</v>
      </c>
      <c r="C45" s="112"/>
      <c r="D45" s="112"/>
      <c r="E45" s="200">
        <v>0</v>
      </c>
      <c r="F45" s="411">
        <v>1133.3499999999999</v>
      </c>
      <c r="G45" s="126">
        <v>1133.3499999999999</v>
      </c>
      <c r="H45" s="160">
        <v>0</v>
      </c>
      <c r="I45" s="203">
        <v>0</v>
      </c>
      <c r="J45" s="162">
        <v>0</v>
      </c>
      <c r="K45" s="204">
        <v>1133.3499999999999</v>
      </c>
      <c r="L45" s="205">
        <v>7.3667749999999987</v>
      </c>
      <c r="M45" s="204">
        <v>45.333999999999996</v>
      </c>
      <c r="N45" s="206">
        <v>0</v>
      </c>
      <c r="O45" s="181">
        <v>0</v>
      </c>
    </row>
    <row r="46" spans="1:15" s="42" customFormat="1" ht="15" customHeight="1">
      <c r="A46" s="42" t="s">
        <v>84</v>
      </c>
      <c r="B46" s="111" t="s">
        <v>84</v>
      </c>
      <c r="C46" s="112"/>
      <c r="D46" s="112"/>
      <c r="E46" s="200">
        <v>0</v>
      </c>
      <c r="F46" s="411">
        <v>18316.200000000015</v>
      </c>
      <c r="G46" s="126">
        <v>18316.200000000015</v>
      </c>
      <c r="H46" s="160">
        <v>0</v>
      </c>
      <c r="I46" s="203">
        <v>0</v>
      </c>
      <c r="J46" s="162">
        <v>0</v>
      </c>
      <c r="K46" s="204">
        <v>18316.200000000015</v>
      </c>
      <c r="L46" s="205">
        <v>119.05530000000009</v>
      </c>
      <c r="M46" s="204">
        <v>732.64800000000059</v>
      </c>
      <c r="N46" s="206">
        <v>0</v>
      </c>
      <c r="O46" s="181">
        <v>0</v>
      </c>
    </row>
    <row r="47" spans="1:15" s="42" customFormat="1" ht="15" customHeight="1">
      <c r="A47" s="42" t="s">
        <v>85</v>
      </c>
      <c r="B47" s="111" t="s">
        <v>85</v>
      </c>
      <c r="C47" s="112"/>
      <c r="D47" s="112"/>
      <c r="E47" s="200">
        <v>0</v>
      </c>
      <c r="F47" s="185">
        <v>0</v>
      </c>
      <c r="G47" s="126">
        <v>0</v>
      </c>
      <c r="H47" s="160">
        <v>0</v>
      </c>
      <c r="I47" s="203">
        <v>0</v>
      </c>
      <c r="J47" s="162">
        <v>0</v>
      </c>
      <c r="K47" s="204">
        <v>0</v>
      </c>
      <c r="L47" s="205">
        <v>0</v>
      </c>
      <c r="M47" s="204">
        <v>0</v>
      </c>
      <c r="N47" s="206">
        <v>0</v>
      </c>
      <c r="O47" s="181">
        <v>0</v>
      </c>
    </row>
    <row r="48" spans="1:15" s="42" customFormat="1" ht="15" customHeight="1">
      <c r="A48" s="42" t="s">
        <v>86</v>
      </c>
      <c r="B48" s="111" t="s">
        <v>86</v>
      </c>
      <c r="C48" s="112"/>
      <c r="D48" s="112"/>
      <c r="E48" s="200">
        <v>0</v>
      </c>
      <c r="F48" s="185">
        <v>0</v>
      </c>
      <c r="G48" s="126">
        <v>0</v>
      </c>
      <c r="H48" s="160">
        <v>0</v>
      </c>
      <c r="I48" s="203">
        <v>0</v>
      </c>
      <c r="J48" s="162">
        <v>0</v>
      </c>
      <c r="K48" s="204">
        <v>0</v>
      </c>
      <c r="L48" s="205">
        <v>0</v>
      </c>
      <c r="M48" s="204">
        <v>0</v>
      </c>
      <c r="N48" s="206">
        <v>0</v>
      </c>
      <c r="O48" s="181">
        <v>0</v>
      </c>
    </row>
    <row r="49" spans="1:16" s="42" customFormat="1" ht="15" customHeight="1">
      <c r="A49" s="42" t="s">
        <v>87</v>
      </c>
      <c r="B49" s="111" t="s">
        <v>87</v>
      </c>
      <c r="C49" s="112"/>
      <c r="D49" s="112"/>
      <c r="E49" s="200">
        <v>0</v>
      </c>
      <c r="F49" s="185">
        <v>0</v>
      </c>
      <c r="G49" s="126">
        <v>0</v>
      </c>
      <c r="H49" s="160">
        <v>0</v>
      </c>
      <c r="I49" s="203">
        <v>0</v>
      </c>
      <c r="J49" s="162">
        <v>0</v>
      </c>
      <c r="K49" s="204">
        <v>0</v>
      </c>
      <c r="L49" s="205">
        <v>0</v>
      </c>
      <c r="M49" s="204">
        <v>0</v>
      </c>
      <c r="N49" s="206">
        <v>0</v>
      </c>
      <c r="O49" s="181">
        <v>0</v>
      </c>
    </row>
    <row r="50" spans="1:16" s="42" customFormat="1" ht="15" customHeight="1">
      <c r="A50" s="42" t="s">
        <v>88</v>
      </c>
      <c r="B50" s="111" t="s">
        <v>88</v>
      </c>
      <c r="C50" s="112"/>
      <c r="D50" s="112"/>
      <c r="E50" s="200">
        <v>0</v>
      </c>
      <c r="F50" s="185">
        <v>0</v>
      </c>
      <c r="G50" s="126">
        <v>0</v>
      </c>
      <c r="H50" s="160">
        <v>0</v>
      </c>
      <c r="I50" s="203">
        <v>0</v>
      </c>
      <c r="J50" s="162">
        <v>0</v>
      </c>
      <c r="K50" s="204">
        <v>0</v>
      </c>
      <c r="L50" s="205">
        <v>0</v>
      </c>
      <c r="M50" s="204">
        <v>0</v>
      </c>
      <c r="N50" s="206">
        <v>0</v>
      </c>
      <c r="O50" s="181">
        <v>0</v>
      </c>
    </row>
    <row r="51" spans="1:16" s="42" customFormat="1" ht="15" customHeight="1">
      <c r="A51" s="42" t="s">
        <v>89</v>
      </c>
      <c r="B51" s="111" t="s">
        <v>89</v>
      </c>
      <c r="C51" s="112"/>
      <c r="D51" s="112"/>
      <c r="E51" s="200">
        <v>0</v>
      </c>
      <c r="F51" s="185">
        <v>0</v>
      </c>
      <c r="G51" s="126">
        <v>0</v>
      </c>
      <c r="H51" s="160">
        <v>0</v>
      </c>
      <c r="I51" s="203">
        <v>0</v>
      </c>
      <c r="J51" s="162">
        <v>0</v>
      </c>
      <c r="K51" s="204">
        <v>0</v>
      </c>
      <c r="L51" s="205">
        <v>0</v>
      </c>
      <c r="M51" s="204">
        <v>0</v>
      </c>
      <c r="N51" s="206">
        <v>0</v>
      </c>
      <c r="O51" s="181">
        <v>0</v>
      </c>
    </row>
    <row r="52" spans="1:16" s="42" customFormat="1" ht="15" customHeight="1" thickBot="1">
      <c r="A52" s="42" t="s">
        <v>90</v>
      </c>
      <c r="B52" s="207" t="s">
        <v>91</v>
      </c>
      <c r="C52" s="208"/>
      <c r="D52" s="208"/>
      <c r="E52" s="200">
        <v>0</v>
      </c>
      <c r="F52" s="185">
        <v>0</v>
      </c>
      <c r="G52" s="126">
        <v>0</v>
      </c>
      <c r="H52" s="209">
        <v>0</v>
      </c>
      <c r="I52" s="203">
        <v>0</v>
      </c>
      <c r="J52" s="162">
        <v>0</v>
      </c>
      <c r="K52" s="204">
        <v>0</v>
      </c>
      <c r="L52" s="210">
        <v>0</v>
      </c>
      <c r="M52" s="204">
        <v>0</v>
      </c>
      <c r="N52" s="211">
        <v>0</v>
      </c>
      <c r="O52" s="212">
        <v>0</v>
      </c>
    </row>
    <row r="53" spans="1:16" s="40" customFormat="1" ht="17.25" customHeight="1" thickBot="1">
      <c r="B53" s="101" t="s">
        <v>92</v>
      </c>
      <c r="C53" s="102"/>
      <c r="D53" s="102"/>
      <c r="E53" s="195">
        <v>0</v>
      </c>
      <c r="F53" s="105">
        <v>231948.04000000004</v>
      </c>
      <c r="G53" s="108">
        <v>231948.04000000004</v>
      </c>
      <c r="H53" s="107">
        <v>183356.58000000002</v>
      </c>
      <c r="I53" s="106">
        <v>0</v>
      </c>
      <c r="J53" s="108">
        <v>0</v>
      </c>
      <c r="K53" s="107">
        <v>231948.04000000004</v>
      </c>
      <c r="L53" s="196">
        <v>3632.5624600000006</v>
      </c>
      <c r="M53" s="213">
        <v>16927.562320000001</v>
      </c>
      <c r="N53" s="214">
        <v>0</v>
      </c>
      <c r="O53" s="215">
        <v>0</v>
      </c>
    </row>
    <row r="54" spans="1:16" s="42" customFormat="1" ht="2.25" customHeight="1" thickBot="1">
      <c r="B54" s="216"/>
      <c r="C54" s="216"/>
      <c r="D54" s="216"/>
      <c r="E54" s="216"/>
      <c r="F54" s="216"/>
      <c r="G54" s="217"/>
      <c r="H54" s="217"/>
      <c r="I54" s="217"/>
      <c r="J54" s="217"/>
      <c r="K54" s="217"/>
    </row>
    <row r="55" spans="1:16" s="219" customFormat="1" ht="20.100000000000001" customHeight="1" thickBot="1">
      <c r="B55" s="52" t="s">
        <v>93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4"/>
    </row>
    <row r="56" spans="1:16" s="219" customFormat="1" ht="20.100000000000001" customHeight="1" thickBot="1">
      <c r="B56" s="220" t="s">
        <v>94</v>
      </c>
      <c r="C56" s="221"/>
      <c r="D56" s="221"/>
      <c r="E56" s="222"/>
      <c r="F56" s="62" t="s">
        <v>95</v>
      </c>
      <c r="G56" s="63"/>
      <c r="H56" s="63"/>
      <c r="I56" s="63"/>
      <c r="J56" s="223"/>
      <c r="K56" s="224"/>
      <c r="L56" s="63" t="s">
        <v>96</v>
      </c>
      <c r="M56" s="63"/>
      <c r="N56" s="63"/>
      <c r="O56" s="64"/>
    </row>
    <row r="57" spans="1:16" s="42" customFormat="1" ht="42" customHeight="1" thickBot="1">
      <c r="B57" s="225"/>
      <c r="C57" s="226"/>
      <c r="D57" s="226"/>
      <c r="E57" s="227"/>
      <c r="F57" s="228" t="s">
        <v>97</v>
      </c>
      <c r="G57" s="229" t="s">
        <v>98</v>
      </c>
      <c r="H57" s="230" t="s">
        <v>99</v>
      </c>
      <c r="I57" s="231" t="s">
        <v>100</v>
      </c>
      <c r="J57" s="232"/>
      <c r="K57" s="233"/>
      <c r="L57" s="234" t="s">
        <v>97</v>
      </c>
      <c r="M57" s="229" t="s">
        <v>98</v>
      </c>
      <c r="N57" s="230" t="s">
        <v>99</v>
      </c>
      <c r="O57" s="235" t="s">
        <v>100</v>
      </c>
    </row>
    <row r="58" spans="1:16" s="250" customFormat="1" ht="15" customHeight="1">
      <c r="B58" s="237" t="s">
        <v>101</v>
      </c>
      <c r="C58" s="238"/>
      <c r="D58" s="238"/>
      <c r="E58" s="239"/>
      <c r="F58" s="240">
        <v>0</v>
      </c>
      <c r="G58" s="241">
        <v>0</v>
      </c>
      <c r="H58" s="242">
        <v>0</v>
      </c>
      <c r="I58" s="243">
        <v>0</v>
      </c>
      <c r="J58" s="244"/>
      <c r="K58" s="245"/>
      <c r="L58" s="246">
        <v>0</v>
      </c>
      <c r="M58" s="247">
        <v>0</v>
      </c>
      <c r="N58" s="248">
        <v>0</v>
      </c>
      <c r="O58" s="249">
        <v>0</v>
      </c>
    </row>
    <row r="59" spans="1:16" s="250" customFormat="1" ht="15" customHeight="1">
      <c r="B59" s="251" t="s">
        <v>102</v>
      </c>
      <c r="C59" s="252"/>
      <c r="D59" s="252"/>
      <c r="E59" s="253"/>
      <c r="F59" s="246">
        <v>0</v>
      </c>
      <c r="G59" s="241">
        <v>0</v>
      </c>
      <c r="H59" s="242">
        <v>0</v>
      </c>
      <c r="I59" s="243">
        <v>0</v>
      </c>
      <c r="J59" s="254"/>
      <c r="K59" s="255"/>
      <c r="L59" s="246">
        <v>0</v>
      </c>
      <c r="M59" s="256">
        <v>0</v>
      </c>
      <c r="N59" s="257">
        <v>0</v>
      </c>
      <c r="O59" s="258">
        <v>0</v>
      </c>
    </row>
    <row r="60" spans="1:16" s="250" customFormat="1" ht="15" customHeight="1">
      <c r="B60" s="251" t="s">
        <v>103</v>
      </c>
      <c r="C60" s="252"/>
      <c r="D60" s="252"/>
      <c r="E60" s="253"/>
      <c r="F60" s="246">
        <v>0</v>
      </c>
      <c r="G60" s="241">
        <v>0</v>
      </c>
      <c r="H60" s="242">
        <v>0</v>
      </c>
      <c r="I60" s="243">
        <v>0</v>
      </c>
      <c r="J60" s="254"/>
      <c r="K60" s="255"/>
      <c r="L60" s="246">
        <v>0</v>
      </c>
      <c r="M60" s="256">
        <v>0</v>
      </c>
      <c r="N60" s="257">
        <v>0</v>
      </c>
      <c r="O60" s="258">
        <v>0</v>
      </c>
    </row>
    <row r="61" spans="1:16" s="42" customFormat="1" ht="15" customHeight="1">
      <c r="A61" s="42" t="s">
        <v>160</v>
      </c>
      <c r="B61" s="251" t="s">
        <v>104</v>
      </c>
      <c r="C61" s="252"/>
      <c r="D61" s="252"/>
      <c r="E61" s="253"/>
      <c r="F61" s="246">
        <v>4157.6534915753864</v>
      </c>
      <c r="G61" s="241">
        <v>4157.6534915753864</v>
      </c>
      <c r="H61" s="242">
        <v>0</v>
      </c>
      <c r="I61" s="243">
        <v>0</v>
      </c>
      <c r="J61" s="254"/>
      <c r="K61" s="255"/>
      <c r="L61" s="246">
        <v>0</v>
      </c>
      <c r="M61" s="256">
        <v>0</v>
      </c>
      <c r="N61" s="257">
        <v>0</v>
      </c>
      <c r="O61" s="258">
        <v>0</v>
      </c>
      <c r="P61" s="250"/>
    </row>
    <row r="62" spans="1:16" s="42" customFormat="1" ht="15" customHeight="1">
      <c r="A62" s="42" t="s">
        <v>161</v>
      </c>
      <c r="B62" s="251" t="s">
        <v>105</v>
      </c>
      <c r="C62" s="252"/>
      <c r="D62" s="252"/>
      <c r="E62" s="253"/>
      <c r="F62" s="246">
        <v>32184.078307183165</v>
      </c>
      <c r="G62" s="241">
        <v>32184.078307183165</v>
      </c>
      <c r="H62" s="242">
        <v>0</v>
      </c>
      <c r="I62" s="243">
        <v>0</v>
      </c>
      <c r="J62" s="254"/>
      <c r="K62" s="255"/>
      <c r="L62" s="246">
        <v>0</v>
      </c>
      <c r="M62" s="256">
        <v>0</v>
      </c>
      <c r="N62" s="257">
        <v>0</v>
      </c>
      <c r="O62" s="258">
        <v>0</v>
      </c>
      <c r="P62" s="250"/>
    </row>
    <row r="63" spans="1:16" s="42" customFormat="1" ht="15" customHeight="1">
      <c r="B63" s="251" t="s">
        <v>106</v>
      </c>
      <c r="C63" s="252"/>
      <c r="D63" s="252"/>
      <c r="E63" s="253"/>
      <c r="F63" s="246">
        <v>0</v>
      </c>
      <c r="G63" s="241">
        <v>0</v>
      </c>
      <c r="H63" s="242">
        <v>0</v>
      </c>
      <c r="I63" s="243">
        <v>0</v>
      </c>
      <c r="J63" s="254"/>
      <c r="K63" s="255"/>
      <c r="L63" s="246">
        <v>0</v>
      </c>
      <c r="M63" s="256">
        <v>0</v>
      </c>
      <c r="N63" s="257">
        <v>0</v>
      </c>
      <c r="O63" s="258">
        <v>0</v>
      </c>
      <c r="P63" s="250"/>
    </row>
    <row r="64" spans="1:16" s="42" customFormat="1" ht="15" customHeight="1">
      <c r="B64" s="251" t="s">
        <v>107</v>
      </c>
      <c r="C64" s="252"/>
      <c r="D64" s="252"/>
      <c r="E64" s="253"/>
      <c r="F64" s="246">
        <v>0</v>
      </c>
      <c r="G64" s="241">
        <v>0</v>
      </c>
      <c r="H64" s="242">
        <v>0</v>
      </c>
      <c r="I64" s="243">
        <v>0</v>
      </c>
      <c r="J64" s="254"/>
      <c r="K64" s="255"/>
      <c r="L64" s="246">
        <v>0</v>
      </c>
      <c r="M64" s="256">
        <v>0</v>
      </c>
      <c r="N64" s="257">
        <v>0</v>
      </c>
      <c r="O64" s="258">
        <v>0</v>
      </c>
      <c r="P64" s="250"/>
    </row>
    <row r="65" spans="2:16" s="42" customFormat="1" ht="15" customHeight="1">
      <c r="B65" s="251" t="s">
        <v>108</v>
      </c>
      <c r="C65" s="252"/>
      <c r="D65" s="252"/>
      <c r="E65" s="253"/>
      <c r="F65" s="246">
        <v>0</v>
      </c>
      <c r="G65" s="241">
        <v>0</v>
      </c>
      <c r="H65" s="242">
        <v>0</v>
      </c>
      <c r="I65" s="243">
        <v>0</v>
      </c>
      <c r="J65" s="254"/>
      <c r="K65" s="255"/>
      <c r="L65" s="246">
        <v>0</v>
      </c>
      <c r="M65" s="256">
        <v>0</v>
      </c>
      <c r="N65" s="257">
        <v>0</v>
      </c>
      <c r="O65" s="258">
        <v>0</v>
      </c>
      <c r="P65" s="250"/>
    </row>
    <row r="66" spans="2:16" s="42" customFormat="1" ht="15" customHeight="1">
      <c r="B66" s="251" t="s">
        <v>109</v>
      </c>
      <c r="C66" s="252"/>
      <c r="D66" s="252"/>
      <c r="E66" s="253"/>
      <c r="F66" s="246">
        <v>0</v>
      </c>
      <c r="G66" s="241">
        <v>0</v>
      </c>
      <c r="H66" s="242">
        <v>0</v>
      </c>
      <c r="I66" s="243">
        <v>0</v>
      </c>
      <c r="J66" s="254"/>
      <c r="K66" s="255"/>
      <c r="L66" s="246">
        <v>0</v>
      </c>
      <c r="M66" s="256">
        <v>0</v>
      </c>
      <c r="N66" s="257">
        <v>0</v>
      </c>
      <c r="O66" s="258">
        <v>0</v>
      </c>
      <c r="P66" s="250"/>
    </row>
    <row r="67" spans="2:16" s="42" customFormat="1" ht="15" customHeight="1">
      <c r="B67" s="251" t="s">
        <v>110</v>
      </c>
      <c r="C67" s="252"/>
      <c r="D67" s="252"/>
      <c r="E67" s="253"/>
      <c r="F67" s="246">
        <v>0</v>
      </c>
      <c r="G67" s="241">
        <v>0</v>
      </c>
      <c r="H67" s="242">
        <v>0</v>
      </c>
      <c r="I67" s="243">
        <v>0</v>
      </c>
      <c r="J67" s="254"/>
      <c r="K67" s="255"/>
      <c r="L67" s="246">
        <v>0</v>
      </c>
      <c r="M67" s="256">
        <v>0</v>
      </c>
      <c r="N67" s="257">
        <v>0</v>
      </c>
      <c r="O67" s="258">
        <v>0</v>
      </c>
      <c r="P67" s="250"/>
    </row>
    <row r="68" spans="2:16" s="42" customFormat="1" ht="15" customHeight="1">
      <c r="B68" s="251" t="s">
        <v>111</v>
      </c>
      <c r="C68" s="252"/>
      <c r="D68" s="252"/>
      <c r="E68" s="253"/>
      <c r="F68" s="246">
        <v>0</v>
      </c>
      <c r="G68" s="241">
        <v>0</v>
      </c>
      <c r="H68" s="242">
        <v>0</v>
      </c>
      <c r="I68" s="243">
        <v>0</v>
      </c>
      <c r="J68" s="254"/>
      <c r="K68" s="255"/>
      <c r="L68" s="246">
        <v>0</v>
      </c>
      <c r="M68" s="256">
        <v>0</v>
      </c>
      <c r="N68" s="257">
        <v>0</v>
      </c>
      <c r="O68" s="258">
        <v>0</v>
      </c>
      <c r="P68" s="250"/>
    </row>
    <row r="69" spans="2:16" s="42" customFormat="1" ht="15" customHeight="1">
      <c r="B69" s="251" t="s">
        <v>112</v>
      </c>
      <c r="C69" s="252"/>
      <c r="D69" s="252"/>
      <c r="E69" s="253"/>
      <c r="F69" s="246">
        <v>0</v>
      </c>
      <c r="G69" s="241">
        <v>0</v>
      </c>
      <c r="H69" s="242">
        <v>0</v>
      </c>
      <c r="I69" s="243">
        <v>0</v>
      </c>
      <c r="J69" s="254"/>
      <c r="K69" s="255"/>
      <c r="L69" s="246">
        <v>0</v>
      </c>
      <c r="M69" s="256">
        <v>0</v>
      </c>
      <c r="N69" s="257">
        <v>0</v>
      </c>
      <c r="O69" s="258">
        <v>0</v>
      </c>
      <c r="P69" s="250"/>
    </row>
    <row r="70" spans="2:16" s="42" customFormat="1" ht="15" customHeight="1">
      <c r="B70" s="251" t="s">
        <v>113</v>
      </c>
      <c r="C70" s="252"/>
      <c r="D70" s="252"/>
      <c r="E70" s="253"/>
      <c r="F70" s="246">
        <v>0</v>
      </c>
      <c r="G70" s="241">
        <v>0</v>
      </c>
      <c r="H70" s="242">
        <v>0</v>
      </c>
      <c r="I70" s="243">
        <v>0</v>
      </c>
      <c r="J70" s="254"/>
      <c r="K70" s="255"/>
      <c r="L70" s="246">
        <v>0</v>
      </c>
      <c r="M70" s="259">
        <v>0</v>
      </c>
      <c r="N70" s="260">
        <v>0</v>
      </c>
      <c r="O70" s="261">
        <v>0</v>
      </c>
      <c r="P70" s="250"/>
    </row>
    <row r="71" spans="2:16" s="42" customFormat="1" ht="15" customHeight="1" thickBot="1">
      <c r="B71" s="262" t="s">
        <v>114</v>
      </c>
      <c r="C71" s="263"/>
      <c r="D71" s="263"/>
      <c r="E71" s="264"/>
      <c r="F71" s="246">
        <v>0</v>
      </c>
      <c r="G71" s="241">
        <v>0</v>
      </c>
      <c r="H71" s="242">
        <v>0</v>
      </c>
      <c r="I71" s="265">
        <v>0</v>
      </c>
      <c r="J71" s="266"/>
      <c r="K71" s="267"/>
      <c r="L71" s="246">
        <v>0</v>
      </c>
      <c r="M71" s="259">
        <v>0</v>
      </c>
      <c r="N71" s="260">
        <v>0</v>
      </c>
      <c r="O71" s="261">
        <v>0</v>
      </c>
      <c r="P71" s="250"/>
    </row>
    <row r="72" spans="2:16" s="42" customFormat="1" ht="18" customHeight="1" thickBot="1">
      <c r="B72" s="268" t="s">
        <v>115</v>
      </c>
      <c r="C72" s="269"/>
      <c r="D72" s="269"/>
      <c r="E72" s="269"/>
      <c r="F72" s="270">
        <v>36341.731798758548</v>
      </c>
      <c r="G72" s="271">
        <v>36341.731798758548</v>
      </c>
      <c r="H72" s="272">
        <v>0</v>
      </c>
      <c r="I72" s="273">
        <v>0</v>
      </c>
      <c r="J72" s="271">
        <v>0</v>
      </c>
      <c r="K72" s="274">
        <v>0</v>
      </c>
      <c r="L72" s="275">
        <v>0</v>
      </c>
      <c r="M72" s="276">
        <v>0</v>
      </c>
      <c r="N72" s="272">
        <v>0</v>
      </c>
      <c r="O72" s="274">
        <v>0</v>
      </c>
    </row>
    <row r="73" spans="2:16" ht="2.25" customHeight="1" thickBot="1">
      <c r="B73" s="37"/>
      <c r="C73" s="37"/>
      <c r="D73" s="216"/>
      <c r="E73" s="216"/>
      <c r="F73" s="216"/>
      <c r="G73" s="217"/>
      <c r="H73" s="217"/>
      <c r="I73" s="217"/>
      <c r="J73" s="217"/>
      <c r="K73" s="217"/>
    </row>
    <row r="74" spans="2:16" ht="20.100000000000001" customHeight="1" thickBot="1">
      <c r="B74" s="277" t="s">
        <v>116</v>
      </c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  <c r="N74" s="278"/>
      <c r="O74" s="279"/>
    </row>
    <row r="75" spans="2:16" ht="2.25" customHeight="1" thickBot="1">
      <c r="B75" s="34"/>
      <c r="C75" s="280"/>
      <c r="D75" s="55"/>
      <c r="E75" s="55"/>
      <c r="F75" s="55"/>
      <c r="G75" s="281"/>
      <c r="H75" s="281"/>
      <c r="I75" s="281"/>
      <c r="J75" s="281"/>
      <c r="K75" s="281"/>
      <c r="L75" s="281"/>
      <c r="M75" s="282"/>
      <c r="N75" s="282"/>
      <c r="O75" s="282"/>
    </row>
    <row r="76" spans="2:16" ht="42.75" customHeight="1" thickBot="1">
      <c r="B76" s="283" t="s">
        <v>117</v>
      </c>
      <c r="C76" s="284"/>
      <c r="D76" s="284"/>
      <c r="E76" s="284"/>
      <c r="F76" s="284"/>
      <c r="G76" s="285"/>
      <c r="H76" s="286" t="s">
        <v>118</v>
      </c>
      <c r="I76" s="231" t="s">
        <v>119</v>
      </c>
      <c r="J76" s="231" t="s">
        <v>120</v>
      </c>
      <c r="K76" s="228" t="s">
        <v>121</v>
      </c>
      <c r="L76" s="287" t="s">
        <v>122</v>
      </c>
      <c r="M76" s="230" t="s">
        <v>123</v>
      </c>
      <c r="N76" s="231" t="s">
        <v>124</v>
      </c>
      <c r="O76" s="228" t="s">
        <v>125</v>
      </c>
    </row>
    <row r="77" spans="2:16" ht="15" customHeight="1">
      <c r="B77" s="288" t="s">
        <v>126</v>
      </c>
      <c r="C77" s="289"/>
      <c r="D77" s="290"/>
      <c r="E77" s="290"/>
      <c r="F77" s="290"/>
      <c r="G77" s="291"/>
      <c r="H77" s="292">
        <v>0</v>
      </c>
      <c r="I77" s="293">
        <v>0</v>
      </c>
      <c r="J77" s="293">
        <v>0</v>
      </c>
      <c r="K77" s="294">
        <v>0</v>
      </c>
      <c r="L77" s="295">
        <v>0</v>
      </c>
      <c r="M77" s="296">
        <v>0</v>
      </c>
      <c r="N77" s="295">
        <v>0</v>
      </c>
      <c r="O77" s="294">
        <v>0</v>
      </c>
    </row>
    <row r="78" spans="2:16" ht="15" customHeight="1">
      <c r="B78" s="297" t="s">
        <v>127</v>
      </c>
      <c r="C78" s="298"/>
      <c r="D78" s="299"/>
      <c r="E78" s="299"/>
      <c r="F78" s="299"/>
      <c r="G78" s="300"/>
      <c r="H78" s="301"/>
      <c r="I78" s="302">
        <v>0</v>
      </c>
      <c r="J78" s="243">
        <v>0</v>
      </c>
      <c r="K78" s="303">
        <v>0</v>
      </c>
      <c r="L78" s="304"/>
      <c r="M78" s="242">
        <v>0</v>
      </c>
      <c r="N78" s="304">
        <v>0</v>
      </c>
      <c r="O78" s="303">
        <v>0</v>
      </c>
    </row>
    <row r="79" spans="2:16" s="37" customFormat="1" ht="15" customHeight="1">
      <c r="B79" s="305" t="s">
        <v>128</v>
      </c>
      <c r="C79" s="306"/>
      <c r="D79" s="306"/>
      <c r="E79" s="306"/>
      <c r="F79" s="306"/>
      <c r="G79" s="307"/>
      <c r="H79" s="308">
        <v>0</v>
      </c>
      <c r="I79" s="309">
        <v>0</v>
      </c>
      <c r="J79" s="309">
        <v>0</v>
      </c>
      <c r="K79" s="310">
        <v>0</v>
      </c>
      <c r="L79" s="311">
        <v>0</v>
      </c>
      <c r="M79" s="312">
        <v>0</v>
      </c>
      <c r="N79" s="311">
        <v>0</v>
      </c>
      <c r="O79" s="310">
        <v>0</v>
      </c>
    </row>
    <row r="80" spans="2:16" ht="15" customHeight="1">
      <c r="B80" s="313" t="s">
        <v>129</v>
      </c>
      <c r="C80" s="298"/>
      <c r="D80" s="299"/>
      <c r="E80" s="299"/>
      <c r="F80" s="299"/>
      <c r="G80" s="300"/>
      <c r="H80" s="314">
        <v>0</v>
      </c>
      <c r="I80" s="315">
        <v>0</v>
      </c>
      <c r="J80" s="315">
        <v>0</v>
      </c>
      <c r="K80" s="316">
        <v>0</v>
      </c>
      <c r="L80" s="317">
        <v>0</v>
      </c>
      <c r="M80" s="318">
        <v>0</v>
      </c>
      <c r="N80" s="317">
        <v>0</v>
      </c>
      <c r="O80" s="316">
        <v>0</v>
      </c>
    </row>
    <row r="81" spans="2:15" ht="15" customHeight="1" thickBot="1">
      <c r="B81" s="319" t="s">
        <v>130</v>
      </c>
      <c r="C81" s="320"/>
      <c r="D81" s="321"/>
      <c r="E81" s="321"/>
      <c r="F81" s="321"/>
      <c r="G81" s="322"/>
      <c r="H81" s="323"/>
      <c r="I81" s="324">
        <v>0</v>
      </c>
      <c r="J81" s="324">
        <v>0</v>
      </c>
      <c r="K81" s="325">
        <v>0</v>
      </c>
      <c r="L81" s="326"/>
      <c r="M81" s="327">
        <v>0</v>
      </c>
      <c r="N81" s="328">
        <v>0</v>
      </c>
      <c r="O81" s="329">
        <v>0</v>
      </c>
    </row>
    <row r="82" spans="2:15" s="37" customFormat="1" ht="15" customHeight="1" thickBot="1">
      <c r="B82" s="330" t="s">
        <v>131</v>
      </c>
      <c r="C82" s="331"/>
      <c r="D82" s="331"/>
      <c r="E82" s="331"/>
      <c r="F82" s="331"/>
      <c r="G82" s="332"/>
      <c r="H82" s="333">
        <v>0</v>
      </c>
      <c r="I82" s="334">
        <v>0</v>
      </c>
      <c r="J82" s="334">
        <v>0</v>
      </c>
      <c r="K82" s="335">
        <v>0</v>
      </c>
      <c r="L82" s="336">
        <v>0</v>
      </c>
      <c r="M82" s="337">
        <v>0</v>
      </c>
      <c r="N82" s="336">
        <v>0</v>
      </c>
      <c r="O82" s="335">
        <v>0</v>
      </c>
    </row>
    <row r="83" spans="2:15" ht="2.25" customHeight="1" thickBot="1">
      <c r="G83" s="13"/>
      <c r="H83" s="13"/>
      <c r="I83" s="13"/>
      <c r="J83" s="13"/>
      <c r="K83" s="338"/>
    </row>
    <row r="84" spans="2:15" ht="40.5" customHeight="1" thickBot="1">
      <c r="B84" s="283" t="s">
        <v>132</v>
      </c>
      <c r="C84" s="284"/>
      <c r="D84" s="284"/>
      <c r="E84" s="284"/>
      <c r="F84" s="284"/>
      <c r="G84" s="285"/>
      <c r="H84" s="286" t="s">
        <v>118</v>
      </c>
      <c r="I84" s="231" t="s">
        <v>119</v>
      </c>
      <c r="J84" s="231" t="s">
        <v>120</v>
      </c>
      <c r="K84" s="228" t="s">
        <v>133</v>
      </c>
      <c r="L84" s="287" t="s">
        <v>122</v>
      </c>
      <c r="M84" s="230" t="s">
        <v>123</v>
      </c>
      <c r="N84" s="231" t="s">
        <v>124</v>
      </c>
      <c r="O84" s="228" t="s">
        <v>125</v>
      </c>
    </row>
    <row r="85" spans="2:15" ht="15" customHeight="1">
      <c r="B85" s="288" t="s">
        <v>126</v>
      </c>
      <c r="C85" s="289"/>
      <c r="D85" s="290"/>
      <c r="E85" s="291"/>
      <c r="F85" s="291"/>
      <c r="G85" s="291"/>
      <c r="H85" s="292">
        <v>0</v>
      </c>
      <c r="I85" s="293">
        <v>0</v>
      </c>
      <c r="J85" s="293">
        <v>0</v>
      </c>
      <c r="K85" s="339">
        <v>0</v>
      </c>
      <c r="L85" s="295">
        <v>0</v>
      </c>
      <c r="M85" s="296">
        <v>0</v>
      </c>
      <c r="N85" s="295">
        <v>0</v>
      </c>
      <c r="O85" s="339">
        <v>0</v>
      </c>
    </row>
    <row r="86" spans="2:15" ht="15" customHeight="1">
      <c r="B86" s="297" t="s">
        <v>134</v>
      </c>
      <c r="C86" s="298"/>
      <c r="D86" s="299"/>
      <c r="E86" s="300"/>
      <c r="F86" s="300"/>
      <c r="G86" s="300"/>
      <c r="H86" s="301">
        <v>0</v>
      </c>
      <c r="I86" s="302">
        <v>0</v>
      </c>
      <c r="J86" s="243">
        <v>0</v>
      </c>
      <c r="K86" s="340">
        <v>0</v>
      </c>
      <c r="L86" s="304">
        <v>0</v>
      </c>
      <c r="M86" s="242">
        <v>0</v>
      </c>
      <c r="N86" s="304">
        <v>0</v>
      </c>
      <c r="O86" s="340">
        <v>0</v>
      </c>
    </row>
    <row r="87" spans="2:15" ht="15" customHeight="1">
      <c r="B87" s="297" t="s">
        <v>135</v>
      </c>
      <c r="C87" s="298"/>
      <c r="D87" s="299"/>
      <c r="E87" s="300"/>
      <c r="F87" s="300"/>
      <c r="G87" s="300"/>
      <c r="H87" s="301">
        <v>0</v>
      </c>
      <c r="I87" s="302">
        <v>0</v>
      </c>
      <c r="J87" s="243">
        <v>0</v>
      </c>
      <c r="K87" s="340">
        <v>0</v>
      </c>
      <c r="L87" s="304">
        <v>0</v>
      </c>
      <c r="M87" s="242">
        <v>0</v>
      </c>
      <c r="N87" s="304">
        <v>0</v>
      </c>
      <c r="O87" s="340">
        <v>0</v>
      </c>
    </row>
    <row r="88" spans="2:15" s="37" customFormat="1" ht="15" customHeight="1">
      <c r="B88" s="305" t="s">
        <v>136</v>
      </c>
      <c r="C88" s="306"/>
      <c r="D88" s="306"/>
      <c r="E88" s="307"/>
      <c r="F88" s="307"/>
      <c r="G88" s="307"/>
      <c r="H88" s="341">
        <v>0</v>
      </c>
      <c r="I88" s="342">
        <v>0</v>
      </c>
      <c r="J88" s="342">
        <v>0</v>
      </c>
      <c r="K88" s="310">
        <v>0</v>
      </c>
      <c r="L88" s="343">
        <v>0</v>
      </c>
      <c r="M88" s="344">
        <v>0</v>
      </c>
      <c r="N88" s="343">
        <v>0</v>
      </c>
      <c r="O88" s="310">
        <v>0</v>
      </c>
    </row>
    <row r="89" spans="2:15" ht="15" customHeight="1">
      <c r="B89" s="313" t="s">
        <v>129</v>
      </c>
      <c r="C89" s="298"/>
      <c r="D89" s="299"/>
      <c r="E89" s="300"/>
      <c r="F89" s="300"/>
      <c r="G89" s="300"/>
      <c r="H89" s="314">
        <v>0</v>
      </c>
      <c r="I89" s="315">
        <v>0</v>
      </c>
      <c r="J89" s="315">
        <v>0</v>
      </c>
      <c r="K89" s="345">
        <v>0</v>
      </c>
      <c r="L89" s="317">
        <v>0</v>
      </c>
      <c r="M89" s="318">
        <v>0</v>
      </c>
      <c r="N89" s="317">
        <v>0</v>
      </c>
      <c r="O89" s="345">
        <v>0</v>
      </c>
    </row>
    <row r="90" spans="2:15" ht="15" customHeight="1" thickBot="1">
      <c r="B90" s="319" t="s">
        <v>130</v>
      </c>
      <c r="C90" s="320"/>
      <c r="D90" s="321"/>
      <c r="E90" s="322"/>
      <c r="F90" s="322"/>
      <c r="G90" s="322"/>
      <c r="H90" s="323">
        <v>0</v>
      </c>
      <c r="I90" s="324">
        <v>0</v>
      </c>
      <c r="J90" s="324">
        <v>0</v>
      </c>
      <c r="K90" s="346">
        <v>0</v>
      </c>
      <c r="L90" s="326">
        <v>0</v>
      </c>
      <c r="M90" s="327">
        <v>0</v>
      </c>
      <c r="N90" s="328">
        <v>0</v>
      </c>
      <c r="O90" s="347">
        <v>0</v>
      </c>
    </row>
    <row r="91" spans="2:15" s="37" customFormat="1" ht="15" customHeight="1" thickBot="1">
      <c r="B91" s="330" t="s">
        <v>131</v>
      </c>
      <c r="C91" s="331"/>
      <c r="D91" s="331"/>
      <c r="E91" s="332"/>
      <c r="F91" s="332"/>
      <c r="G91" s="332"/>
      <c r="H91" s="348">
        <v>0</v>
      </c>
      <c r="I91" s="349">
        <v>0</v>
      </c>
      <c r="J91" s="349">
        <v>0</v>
      </c>
      <c r="K91" s="335">
        <v>0</v>
      </c>
      <c r="L91" s="336">
        <v>0</v>
      </c>
      <c r="M91" s="337">
        <v>0</v>
      </c>
      <c r="N91" s="336">
        <v>0</v>
      </c>
      <c r="O91" s="335">
        <v>0</v>
      </c>
    </row>
    <row r="92" spans="2:15" ht="4.5" customHeight="1" thickBot="1">
      <c r="B92" s="34"/>
      <c r="C92" s="280"/>
      <c r="D92" s="55"/>
      <c r="E92" s="55"/>
      <c r="F92" s="55"/>
      <c r="G92" s="281"/>
      <c r="H92" s="281"/>
      <c r="I92" s="281"/>
      <c r="J92" s="281"/>
      <c r="K92" s="281"/>
      <c r="L92" s="281"/>
      <c r="M92" s="55"/>
      <c r="N92" s="55"/>
      <c r="O92" s="282"/>
    </row>
    <row r="93" spans="2:15" s="219" customFormat="1" ht="20.100000000000001" customHeight="1" thickBot="1">
      <c r="B93" s="350" t="s">
        <v>137</v>
      </c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53"/>
      <c r="N93" s="53"/>
      <c r="O93" s="54"/>
    </row>
    <row r="94" spans="2:15" ht="15" customHeight="1" thickBot="1">
      <c r="B94" s="352" t="s">
        <v>138</v>
      </c>
      <c r="C94" s="353"/>
      <c r="D94" s="353"/>
      <c r="E94" s="353"/>
      <c r="F94" s="353"/>
      <c r="G94" s="353"/>
      <c r="H94" s="353"/>
      <c r="I94" s="353"/>
      <c r="J94" s="353"/>
      <c r="K94" s="353"/>
      <c r="L94" s="354"/>
      <c r="M94" s="355" t="s">
        <v>139</v>
      </c>
      <c r="N94" s="356" t="s">
        <v>140</v>
      </c>
      <c r="O94" s="357" t="s">
        <v>141</v>
      </c>
    </row>
    <row r="95" spans="2:15" s="42" customFormat="1" ht="15" customHeight="1">
      <c r="B95" s="358" t="s">
        <v>142</v>
      </c>
      <c r="C95" s="358"/>
      <c r="D95" s="358"/>
      <c r="E95" s="358"/>
      <c r="F95" s="358"/>
      <c r="G95" s="358"/>
      <c r="H95" s="358"/>
      <c r="I95" s="358"/>
      <c r="J95" s="358"/>
      <c r="K95" s="358"/>
      <c r="L95" s="359"/>
      <c r="M95" s="360">
        <v>3632.5624600000006</v>
      </c>
      <c r="N95" s="361">
        <v>16927.562320000001</v>
      </c>
      <c r="O95" s="362">
        <v>0</v>
      </c>
    </row>
    <row r="96" spans="2:15" ht="15" customHeight="1">
      <c r="B96" s="363" t="s">
        <v>143</v>
      </c>
      <c r="C96" s="363"/>
      <c r="D96" s="363"/>
      <c r="E96" s="363"/>
      <c r="F96" s="363"/>
      <c r="G96" s="363"/>
      <c r="H96" s="363"/>
      <c r="I96" s="363"/>
      <c r="J96" s="363"/>
      <c r="K96" s="363"/>
      <c r="L96" s="364"/>
      <c r="M96" s="367">
        <v>-613.05934308093697</v>
      </c>
      <c r="N96" s="368">
        <v>-2823.7884893424975</v>
      </c>
      <c r="O96" s="258">
        <v>0</v>
      </c>
    </row>
    <row r="97" spans="1:15" ht="15" customHeight="1">
      <c r="B97" s="363" t="s">
        <v>144</v>
      </c>
      <c r="C97" s="363"/>
      <c r="D97" s="363"/>
      <c r="E97" s="363"/>
      <c r="F97" s="363"/>
      <c r="G97" s="363"/>
      <c r="H97" s="363"/>
      <c r="I97" s="363"/>
      <c r="J97" s="363"/>
      <c r="K97" s="363"/>
      <c r="L97" s="364"/>
      <c r="M97" s="367">
        <v>0</v>
      </c>
      <c r="N97" s="368">
        <v>0</v>
      </c>
      <c r="O97" s="369">
        <v>0</v>
      </c>
    </row>
    <row r="98" spans="1:15" ht="15" customHeight="1">
      <c r="B98" s="363" t="s">
        <v>145</v>
      </c>
      <c r="C98" s="363"/>
      <c r="D98" s="363"/>
      <c r="E98" s="363"/>
      <c r="F98" s="363"/>
      <c r="G98" s="363"/>
      <c r="H98" s="363"/>
      <c r="I98" s="363"/>
      <c r="J98" s="363"/>
      <c r="K98" s="363"/>
      <c r="L98" s="364"/>
      <c r="M98" s="367">
        <v>0</v>
      </c>
      <c r="N98" s="368">
        <v>0</v>
      </c>
      <c r="O98" s="369">
        <v>0</v>
      </c>
    </row>
    <row r="99" spans="1:15" ht="15" customHeight="1">
      <c r="B99" s="363" t="s">
        <v>146</v>
      </c>
      <c r="C99" s="363"/>
      <c r="D99" s="363"/>
      <c r="E99" s="363"/>
      <c r="F99" s="363"/>
      <c r="G99" s="363"/>
      <c r="H99" s="363"/>
      <c r="I99" s="363"/>
      <c r="J99" s="363"/>
      <c r="K99" s="363"/>
      <c r="L99" s="364"/>
      <c r="M99" s="367">
        <v>0</v>
      </c>
      <c r="N99" s="368">
        <v>0</v>
      </c>
      <c r="O99" s="369">
        <v>0</v>
      </c>
    </row>
    <row r="100" spans="1:15" ht="15" customHeight="1" thickBot="1">
      <c r="B100" s="370" t="s">
        <v>147</v>
      </c>
      <c r="C100" s="370"/>
      <c r="D100" s="370"/>
      <c r="E100" s="370"/>
      <c r="F100" s="370"/>
      <c r="G100" s="370"/>
      <c r="H100" s="370"/>
      <c r="I100" s="370"/>
      <c r="J100" s="370"/>
      <c r="K100" s="370"/>
      <c r="L100" s="371"/>
      <c r="M100" s="372">
        <v>0</v>
      </c>
      <c r="N100" s="373">
        <v>0</v>
      </c>
      <c r="O100" s="374">
        <v>0</v>
      </c>
    </row>
    <row r="101" spans="1:15" ht="18" customHeight="1" thickBot="1">
      <c r="B101" s="375" t="s">
        <v>148</v>
      </c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7">
        <v>3019.5031169190634</v>
      </c>
      <c r="N101" s="378">
        <v>14103.773830657503</v>
      </c>
      <c r="O101" s="379">
        <v>0</v>
      </c>
    </row>
    <row r="102" spans="1:15" s="383" customFormat="1" ht="24.9" customHeight="1">
      <c r="A102" s="13"/>
      <c r="B102" s="380"/>
      <c r="C102" s="380"/>
      <c r="D102" s="381"/>
      <c r="E102" s="381"/>
      <c r="F102" s="381"/>
      <c r="G102" s="381"/>
      <c r="H102" s="382"/>
      <c r="M102" s="384"/>
    </row>
    <row r="103" spans="1:15" s="383" customFormat="1" ht="20.100000000000001" customHeight="1">
      <c r="A103" s="13"/>
      <c r="C103" s="385" t="s">
        <v>149</v>
      </c>
      <c r="D103" s="386"/>
      <c r="E103" s="387" t="s">
        <v>150</v>
      </c>
      <c r="F103" s="388" t="s">
        <v>151</v>
      </c>
      <c r="G103" s="387" t="s">
        <v>152</v>
      </c>
      <c r="H103" s="389" t="s">
        <v>153</v>
      </c>
      <c r="M103" s="384"/>
    </row>
    <row r="104" spans="1:15" s="383" customFormat="1" ht="20.100000000000001" customHeight="1">
      <c r="A104" s="13"/>
      <c r="C104" s="390" t="s">
        <v>154</v>
      </c>
      <c r="D104" s="391"/>
      <c r="E104" s="392">
        <v>3019.5031169190634</v>
      </c>
      <c r="F104" s="392">
        <v>3019.5031169190634</v>
      </c>
      <c r="G104" s="392">
        <v>3019.5031169190634</v>
      </c>
      <c r="H104" s="392">
        <v>0</v>
      </c>
      <c r="J104" s="393"/>
      <c r="K104" s="394"/>
      <c r="M104" s="384">
        <v>24231.576076918736</v>
      </c>
      <c r="N104" s="384">
        <v>112005.64903065597</v>
      </c>
    </row>
    <row r="105" spans="1:15" s="383" customFormat="1" ht="20.100000000000001" customHeight="1">
      <c r="A105" s="13"/>
      <c r="C105" s="395" t="s">
        <v>155</v>
      </c>
      <c r="D105" s="396"/>
      <c r="E105" s="397">
        <v>14103.773830657503</v>
      </c>
      <c r="F105" s="397">
        <v>14103.773830657503</v>
      </c>
      <c r="G105" s="397">
        <v>14103.773830657503</v>
      </c>
      <c r="H105" s="397">
        <v>0</v>
      </c>
      <c r="J105" s="393"/>
      <c r="K105" s="394"/>
      <c r="M105" s="384"/>
    </row>
    <row r="106" spans="1:15" s="383" customFormat="1" ht="20.100000000000001" customHeight="1">
      <c r="A106" s="13"/>
      <c r="C106" s="398" t="s">
        <v>156</v>
      </c>
      <c r="D106" s="399"/>
      <c r="E106" s="400">
        <v>0</v>
      </c>
      <c r="F106" s="400">
        <v>0</v>
      </c>
      <c r="G106" s="400">
        <v>0</v>
      </c>
      <c r="H106" s="400"/>
      <c r="I106" s="401"/>
      <c r="J106" s="402"/>
      <c r="K106" s="402"/>
      <c r="L106" s="403"/>
      <c r="M106" s="384"/>
    </row>
    <row r="107" spans="1:15" s="383" customFormat="1" ht="9.9" customHeight="1">
      <c r="A107" s="13"/>
      <c r="B107" s="404"/>
      <c r="C107" s="404"/>
      <c r="D107" s="404"/>
      <c r="E107" s="404"/>
      <c r="F107" s="404"/>
      <c r="G107" s="404"/>
      <c r="H107" s="382"/>
      <c r="I107" s="401"/>
      <c r="M107" s="384"/>
    </row>
    <row r="108" spans="1:15" s="383" customFormat="1" ht="18" customHeight="1">
      <c r="A108" s="13"/>
      <c r="B108" s="402"/>
      <c r="C108" s="402"/>
      <c r="D108" s="402"/>
      <c r="E108" s="402"/>
      <c r="F108" s="402"/>
      <c r="G108" s="402"/>
      <c r="H108" s="382"/>
      <c r="I108" s="382"/>
      <c r="J108" s="402"/>
      <c r="K108" s="402"/>
      <c r="L108" s="13"/>
      <c r="M108" s="384"/>
    </row>
    <row r="109" spans="1:15" s="383" customFormat="1" ht="18" customHeight="1">
      <c r="A109" s="13"/>
      <c r="D109" s="402"/>
      <c r="E109" s="402"/>
      <c r="F109" s="402"/>
      <c r="G109" s="402"/>
      <c r="H109" s="382"/>
      <c r="M109" s="384"/>
    </row>
    <row r="110" spans="1:15" s="383" customFormat="1" ht="18" customHeight="1">
      <c r="A110" s="13"/>
      <c r="D110" s="402"/>
      <c r="E110" s="402"/>
      <c r="F110" s="402"/>
      <c r="G110" s="402"/>
      <c r="H110" s="382"/>
      <c r="M110" s="384"/>
      <c r="N110" s="405"/>
      <c r="O110" s="216"/>
    </row>
    <row r="111" spans="1:15" s="383" customFormat="1" ht="9.9" customHeight="1">
      <c r="A111" s="13"/>
      <c r="D111" s="402"/>
      <c r="E111" s="402"/>
      <c r="F111" s="402"/>
      <c r="G111" s="402"/>
      <c r="H111" s="382"/>
      <c r="I111" s="382"/>
      <c r="J111" s="402"/>
      <c r="K111" s="402"/>
      <c r="L111" s="13"/>
      <c r="N111" s="406"/>
      <c r="O111" s="406"/>
    </row>
    <row r="112" spans="1:15" s="383" customFormat="1" ht="18" customHeight="1">
      <c r="A112" s="13"/>
      <c r="B112" s="402"/>
      <c r="C112" s="402"/>
      <c r="D112" s="402"/>
      <c r="E112" s="402"/>
      <c r="F112" s="402"/>
      <c r="G112" s="402"/>
      <c r="H112" s="382"/>
      <c r="I112" s="382"/>
      <c r="J112" s="402"/>
      <c r="K112" s="402"/>
      <c r="L112" s="13"/>
    </row>
    <row r="113" spans="1:12" s="383" customFormat="1" ht="18" customHeight="1">
      <c r="A113" s="13"/>
      <c r="B113" s="402"/>
      <c r="C113" s="402"/>
      <c r="D113" s="402"/>
      <c r="E113" s="402"/>
      <c r="F113" s="402"/>
      <c r="G113" s="402"/>
      <c r="H113" s="382"/>
      <c r="I113" s="382"/>
      <c r="J113" s="402"/>
      <c r="K113" s="402"/>
      <c r="L113" s="13"/>
    </row>
    <row r="114" spans="1:12" s="383" customFormat="1" ht="18" customHeight="1">
      <c r="A114" s="13"/>
      <c r="B114" s="402"/>
      <c r="C114" s="402"/>
      <c r="D114" s="402"/>
      <c r="E114" s="402"/>
      <c r="F114" s="402"/>
      <c r="G114" s="402"/>
      <c r="H114" s="382"/>
      <c r="I114" s="382"/>
      <c r="J114" s="402"/>
      <c r="K114" s="402"/>
      <c r="L114" s="13"/>
    </row>
    <row r="115" spans="1:12" s="383" customFormat="1" ht="18" customHeight="1">
      <c r="A115" s="13"/>
      <c r="C115" s="402"/>
      <c r="D115" s="402"/>
      <c r="E115" s="402"/>
      <c r="F115" s="402"/>
      <c r="G115" s="402"/>
      <c r="H115" s="382"/>
      <c r="I115" s="382"/>
      <c r="J115" s="402"/>
      <c r="K115" s="402"/>
      <c r="L115" s="13"/>
    </row>
    <row r="116" spans="1:12" s="383" customFormat="1" ht="18" customHeight="1">
      <c r="A116" s="13"/>
      <c r="B116" s="402"/>
      <c r="C116" s="402"/>
      <c r="D116" s="402"/>
      <c r="E116" s="402"/>
      <c r="F116" s="402"/>
      <c r="G116" s="402"/>
      <c r="H116" s="382"/>
      <c r="I116" s="382"/>
      <c r="J116" s="402"/>
      <c r="K116" s="402"/>
      <c r="L116" s="13"/>
    </row>
    <row r="117" spans="1:12" s="383" customFormat="1" ht="18" customHeight="1">
      <c r="A117" s="13"/>
      <c r="B117" s="402"/>
      <c r="C117" s="402"/>
      <c r="D117" s="402"/>
      <c r="E117" s="402"/>
      <c r="F117" s="402"/>
      <c r="G117" s="402"/>
      <c r="H117" s="382"/>
      <c r="I117" s="382"/>
      <c r="J117" s="402"/>
      <c r="K117" s="402"/>
      <c r="L117" s="13"/>
    </row>
    <row r="118" spans="1:12" s="383" customFormat="1" ht="18" customHeight="1">
      <c r="A118" s="13"/>
      <c r="B118" s="402"/>
      <c r="C118" s="402"/>
      <c r="D118" s="402"/>
      <c r="E118" s="402"/>
      <c r="F118" s="402"/>
      <c r="G118" s="402"/>
      <c r="H118" s="402"/>
      <c r="I118" s="402"/>
      <c r="J118" s="402"/>
      <c r="K118" s="402"/>
      <c r="L118" s="13"/>
    </row>
    <row r="119" spans="1:12" s="383" customFormat="1" ht="18" customHeight="1">
      <c r="A119" s="13"/>
      <c r="B119" s="13"/>
      <c r="C119" s="13"/>
      <c r="D119" s="13"/>
      <c r="E119" s="13"/>
      <c r="F119" s="13"/>
      <c r="G119" s="382"/>
      <c r="H119" s="402"/>
      <c r="I119" s="402"/>
      <c r="J119" s="402"/>
      <c r="K119" s="402"/>
      <c r="L119" s="13"/>
    </row>
    <row r="120" spans="1:12" s="383" customFormat="1" ht="18" customHeight="1">
      <c r="A120" s="13"/>
      <c r="B120" s="13"/>
      <c r="C120" s="13"/>
      <c r="D120" s="13"/>
      <c r="E120" s="13"/>
      <c r="F120" s="13"/>
      <c r="G120" s="382"/>
      <c r="H120" s="382"/>
      <c r="I120" s="382"/>
      <c r="J120" s="402"/>
      <c r="K120" s="402"/>
      <c r="L120" s="13"/>
    </row>
  </sheetData>
  <sheetProtection insertHyperlinks="0" sort="0" autoFilter="0" pivotTables="0"/>
  <mergeCells count="83">
    <mergeCell ref="C105:D105"/>
    <mergeCell ref="C106:D106"/>
    <mergeCell ref="B99:L99"/>
    <mergeCell ref="B100:L100"/>
    <mergeCell ref="B101:L101"/>
    <mergeCell ref="B102:C102"/>
    <mergeCell ref="C103:D103"/>
    <mergeCell ref="C104:D104"/>
    <mergeCell ref="B93:O93"/>
    <mergeCell ref="B94:L94"/>
    <mergeCell ref="B95:L95"/>
    <mergeCell ref="B96:L96"/>
    <mergeCell ref="B97:L97"/>
    <mergeCell ref="B98:L98"/>
    <mergeCell ref="B70:E70"/>
    <mergeCell ref="B71:E71"/>
    <mergeCell ref="B72:E72"/>
    <mergeCell ref="B74:O74"/>
    <mergeCell ref="B76:G76"/>
    <mergeCell ref="B84:G84"/>
    <mergeCell ref="B64:E64"/>
    <mergeCell ref="B65:E65"/>
    <mergeCell ref="B66:E66"/>
    <mergeCell ref="B67:E67"/>
    <mergeCell ref="B68:E68"/>
    <mergeCell ref="B69:E69"/>
    <mergeCell ref="B58:E58"/>
    <mergeCell ref="B59:E59"/>
    <mergeCell ref="B60:E60"/>
    <mergeCell ref="B61:E61"/>
    <mergeCell ref="B62:E62"/>
    <mergeCell ref="B63:E63"/>
    <mergeCell ref="B51:D51"/>
    <mergeCell ref="B52:D52"/>
    <mergeCell ref="B53:D53"/>
    <mergeCell ref="B55:O55"/>
    <mergeCell ref="B56:E57"/>
    <mergeCell ref="F56:I56"/>
    <mergeCell ref="L56:O56"/>
    <mergeCell ref="B45:D45"/>
    <mergeCell ref="B46:D46"/>
    <mergeCell ref="B47:D47"/>
    <mergeCell ref="B48:D48"/>
    <mergeCell ref="B49:D49"/>
    <mergeCell ref="B50:D50"/>
    <mergeCell ref="B33:D33"/>
    <mergeCell ref="B34:D34"/>
    <mergeCell ref="B39:D39"/>
    <mergeCell ref="B41:D41"/>
    <mergeCell ref="B43:D43"/>
    <mergeCell ref="B44:D44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7:G17"/>
    <mergeCell ref="H17:J17"/>
    <mergeCell ref="K17:M17"/>
    <mergeCell ref="N17:O17"/>
    <mergeCell ref="B18:D19"/>
    <mergeCell ref="K19:K20"/>
    <mergeCell ref="N19:N20"/>
    <mergeCell ref="B20:D20"/>
    <mergeCell ref="C11:L11"/>
    <mergeCell ref="N11:O11"/>
    <mergeCell ref="C12:D12"/>
    <mergeCell ref="F12:G12"/>
    <mergeCell ref="E13:K13"/>
    <mergeCell ref="B15:O15"/>
    <mergeCell ref="B7:M8"/>
    <mergeCell ref="N7:O7"/>
    <mergeCell ref="B9:C10"/>
    <mergeCell ref="D9:G10"/>
    <mergeCell ref="H9:L10"/>
    <mergeCell ref="M9:O9"/>
  </mergeCells>
  <conditionalFormatting sqref="C11">
    <cfRule type="expression" dxfId="57" priority="1" stopIfTrue="1">
      <formula>IF($C$11="",1)</formula>
    </cfRule>
  </conditionalFormatting>
  <conditionalFormatting sqref="C12">
    <cfRule type="expression" dxfId="56" priority="32" stopIfTrue="1">
      <formula>IF($C$12="Selecionar",1,IF($C$12="",1))</formula>
    </cfRule>
  </conditionalFormatting>
  <conditionalFormatting sqref="E104">
    <cfRule type="expression" dxfId="55" priority="13">
      <formula>IF($E$104&lt;&gt;$M$101,1)</formula>
    </cfRule>
  </conditionalFormatting>
  <conditionalFormatting sqref="E105">
    <cfRule type="expression" dxfId="54" priority="28" stopIfTrue="1">
      <formula>IF($E$105&lt;&gt;$N$101,1)</formula>
    </cfRule>
  </conditionalFormatting>
  <conditionalFormatting sqref="E106">
    <cfRule type="expression" dxfId="53" priority="12">
      <formula>IF($E$106&lt;&gt;$O$101,1)</formula>
    </cfRule>
  </conditionalFormatting>
  <conditionalFormatting sqref="E21:G21">
    <cfRule type="expression" dxfId="52" priority="33" stopIfTrue="1">
      <formula>IF($C$12="LUCRO REAL",IF($G$21&lt;&gt;$H$21+$I$21+$J$21,1))</formula>
    </cfRule>
  </conditionalFormatting>
  <conditionalFormatting sqref="E13:K13">
    <cfRule type="expression" dxfId="51" priority="22" stopIfTrue="1">
      <formula>IF($E$13="Selecionar",1,IF($E$13="",1))</formula>
    </cfRule>
  </conditionalFormatting>
  <conditionalFormatting sqref="F12">
    <cfRule type="expression" dxfId="50" priority="31" stopIfTrue="1">
      <formula>IF($F$12="Selecionar",1,IF($F$12="",1))</formula>
    </cfRule>
  </conditionalFormatting>
  <conditionalFormatting sqref="F72">
    <cfRule type="expression" dxfId="49" priority="35" stopIfTrue="1">
      <formula>IF($F$72&lt;&gt;$G$72+$H$72+$I$72,1)</formula>
    </cfRule>
  </conditionalFormatting>
  <conditionalFormatting sqref="F104">
    <cfRule type="expression" dxfId="48" priority="10">
      <formula>IF($F$104&lt;&gt;$M$101,1)</formula>
    </cfRule>
  </conditionalFormatting>
  <conditionalFormatting sqref="F105">
    <cfRule type="expression" dxfId="47" priority="11" stopIfTrue="1">
      <formula>IF($F$105&lt;&gt;$N$101,1)</formula>
    </cfRule>
  </conditionalFormatting>
  <conditionalFormatting sqref="F106">
    <cfRule type="expression" dxfId="46" priority="9">
      <formula>IF($F$106&lt;&gt;$O$101,1)</formula>
    </cfRule>
  </conditionalFormatting>
  <conditionalFormatting sqref="G104">
    <cfRule type="expression" dxfId="45" priority="7">
      <formula>IF($G$104&lt;&gt;$M$101,1)</formula>
    </cfRule>
  </conditionalFormatting>
  <conditionalFormatting sqref="G105">
    <cfRule type="expression" dxfId="44" priority="8" stopIfTrue="1">
      <formula>IF($G$105&lt;&gt;$N$101,1)</formula>
    </cfRule>
  </conditionalFormatting>
  <conditionalFormatting sqref="G106">
    <cfRule type="expression" dxfId="43" priority="6">
      <formula>IF($G$106&lt;&gt;$O$101,1)</formula>
    </cfRule>
  </conditionalFormatting>
  <conditionalFormatting sqref="H104">
    <cfRule type="expression" dxfId="42" priority="4">
      <formula>IF($H$104&lt;&gt;$M$101,1)</formula>
    </cfRule>
  </conditionalFormatting>
  <conditionalFormatting sqref="H105">
    <cfRule type="expression" dxfId="41" priority="5" stopIfTrue="1">
      <formula>IF($H$105&lt;&gt;$N$101,1)</formula>
    </cfRule>
  </conditionalFormatting>
  <conditionalFormatting sqref="H106">
    <cfRule type="expression" dxfId="40" priority="3">
      <formula>IF($HF$106&lt;&gt;$O$101,1)</formula>
    </cfRule>
  </conditionalFormatting>
  <conditionalFormatting sqref="H39:M40">
    <cfRule type="expression" dxfId="39" priority="23" stopIfTrue="1">
      <formula>IF($C$12="LUCRO PRESUMIDO",1)</formula>
    </cfRule>
  </conditionalFormatting>
  <conditionalFormatting sqref="I107">
    <cfRule type="expression" dxfId="38" priority="34" stopIfTrue="1">
      <formula>IF(#REF!&lt;&gt;0,1)</formula>
    </cfRule>
  </conditionalFormatting>
  <conditionalFormatting sqref="J12">
    <cfRule type="expression" dxfId="37" priority="30" stopIfTrue="1">
      <formula>IF($J$12="Selecionar",1,IF($J$12="",1))</formula>
    </cfRule>
  </conditionalFormatting>
  <conditionalFormatting sqref="K48">
    <cfRule type="expression" dxfId="36" priority="25" stopIfTrue="1">
      <formula>IF(K48=0,1)</formula>
    </cfRule>
  </conditionalFormatting>
  <conditionalFormatting sqref="K44:M46">
    <cfRule type="expression" dxfId="35" priority="18" stopIfTrue="1">
      <formula>IF($C$12="LUCRO PRESUMIDO",1)</formula>
    </cfRule>
  </conditionalFormatting>
  <conditionalFormatting sqref="K47:M47">
    <cfRule type="expression" dxfId="34" priority="16" stopIfTrue="1">
      <formula>IF(K47=0,1)</formula>
    </cfRule>
  </conditionalFormatting>
  <conditionalFormatting sqref="K49:M52">
    <cfRule type="expression" dxfId="33" priority="24" stopIfTrue="1">
      <formula>IF($C$12="LUCRO PRESUMIDO",1)</formula>
    </cfRule>
  </conditionalFormatting>
  <conditionalFormatting sqref="L72">
    <cfRule type="expression" dxfId="32" priority="26" stopIfTrue="1">
      <formula>IF($F$72&lt;&gt;$G$72+$H$72+$I$72,1)</formula>
    </cfRule>
  </conditionalFormatting>
  <conditionalFormatting sqref="L20:M20">
    <cfRule type="expression" dxfId="31" priority="20" stopIfTrue="1">
      <formula>IF($C$12="LUCRO PRESUMIDO",IF($F$12="NÃO CUMULATIVO",1))</formula>
    </cfRule>
  </conditionalFormatting>
  <conditionalFormatting sqref="L22:M26">
    <cfRule type="expression" dxfId="30" priority="19" stopIfTrue="1">
      <formula>IF($C$12="LUCRO PRESUMIDO",IF($F$12="NÃO CUMULATIVO",1))</formula>
    </cfRule>
  </conditionalFormatting>
  <conditionalFormatting sqref="L28:M33">
    <cfRule type="expression" dxfId="29" priority="14" stopIfTrue="1">
      <formula>IF($C$12="LUCRO PRESUMIDO",IF($F$12="NÃO CUMULATIVO",1))</formula>
    </cfRule>
  </conditionalFormatting>
  <conditionalFormatting sqref="L48:M48">
    <cfRule type="expression" dxfId="28" priority="15" stopIfTrue="1">
      <formula>IF($C$12="LUCRO PRESUMIDO",1)</formula>
    </cfRule>
  </conditionalFormatting>
  <conditionalFormatting sqref="M12">
    <cfRule type="expression" dxfId="27" priority="17" stopIfTrue="1">
      <formula>IF($M$12="Selecionar",1,IF($M$12="",1))</formula>
    </cfRule>
  </conditionalFormatting>
  <conditionalFormatting sqref="M13">
    <cfRule type="expression" dxfId="26" priority="21" stopIfTrue="1">
      <formula>IF($M$13="",1)</formula>
    </cfRule>
  </conditionalFormatting>
  <conditionalFormatting sqref="N11">
    <cfRule type="expression" dxfId="25" priority="2" stopIfTrue="1">
      <formula>IF($N$11="",1)</formula>
    </cfRule>
  </conditionalFormatting>
  <conditionalFormatting sqref="O12">
    <cfRule type="expression" dxfId="24" priority="27" stopIfTrue="1">
      <formula>IF($O$12="Selecionar",1,IF($O$12="",1))</formula>
    </cfRule>
  </conditionalFormatting>
  <conditionalFormatting sqref="O13">
    <cfRule type="expression" dxfId="23" priority="29" stopIfTrue="1">
      <formula>IF($O$13="",1)</formula>
    </cfRule>
  </conditionalFormatting>
  <dataValidations count="11">
    <dataValidation type="decimal" operator="lessThanOrEqual" allowBlank="1" showInputMessage="1" showErrorMessage="1" errorTitle="Valor Inválido" error="Inserir somente número negativo" sqref="L89:N90 E23:J23 H28:J33 H80:J81 L80:N81 H89:J90 M97:N100 O96:O100 E28:F33" xr:uid="{3FF4D1E9-3E97-4B90-ABCB-4DE91A173EDC}">
      <formula1>0</formula1>
    </dataValidation>
    <dataValidation type="list" allowBlank="1" showInputMessage="1" showErrorMessage="1" sqref="C12:D12" xr:uid="{7B478824-223F-45E9-86ED-DE774EB781E0}">
      <formula1>int_Tributacao</formula1>
    </dataValidation>
    <dataValidation type="list" allowBlank="1" showInputMessage="1" showErrorMessage="1" sqref="O12" xr:uid="{578D2A75-FED9-4101-B5E4-6EBBC37AF61E}">
      <formula1>int_CPRB.Perc</formula1>
    </dataValidation>
    <dataValidation type="list" allowBlank="1" showInputMessage="1" showErrorMessage="1" sqref="E13:K13" xr:uid="{7735D50B-C7F8-42AA-940E-55CA07A9654A}">
      <formula1>int_MetodoRateio</formula1>
    </dataValidation>
    <dataValidation type="decimal" operator="greaterThan" allowBlank="1" showInputMessage="1" showErrorMessage="1" errorTitle="Valor Inválido" error="Inserir  somente número positivo" sqref="E24" xr:uid="{680E5A79-E0A6-472D-88C6-3E9885C82494}">
      <formula1>0</formula1>
    </dataValidation>
    <dataValidation allowBlank="1" showInputMessage="1" showErrorMessage="1" promptTitle="Alerta!" prompt="Preencher somente com números" sqref="N11:O11" xr:uid="{04904719-4435-4BF1-83D7-F7B90D8EB090}"/>
    <dataValidation type="list" allowBlank="1" showInputMessage="1" showErrorMessage="1" sqref="H12" xr:uid="{D6C22CE1-6CC7-405B-8D09-FCCA4F7BB3B7}">
      <formula1>#REF!</formula1>
    </dataValidation>
    <dataValidation type="custom" allowBlank="1" showInputMessage="1" showErrorMessage="1" errorTitle="Erro!" error="Empresa não está enquadrada no regime de não cumulatividade" sqref="F68:F71 L68:L71 L58:L66 F58:F60 F63:F66" xr:uid="{ABD062F2-21FB-4FAF-9E9E-DFF396F812DE}">
      <formula1>$F$12="NÃO CUMULATIVO"</formula1>
    </dataValidation>
    <dataValidation type="custom" allowBlank="1" showInputMessage="1" showErrorMessage="1" errorTitle="Erro!" error="Empresa não está enquadrada no regime de não cumulatividade" promptTitle="Alerta!" prompt="Verificar se está de acordo com a o §14 do Artigo 3º da Lei 10.833/03 e Artigo 4º da Lei  12.546/2011" sqref="F67 L67" xr:uid="{2B377650-6193-46C9-8FF7-585050F8959A}">
      <formula1>$F$12="NÃO CUMULATIVO"</formula1>
    </dataValidation>
    <dataValidation type="list" allowBlank="1" showInputMessage="1" showErrorMessage="1" sqref="J12 M12" xr:uid="{A4FE526A-955C-4E5F-BB8D-F3B6ED4AA7AD}">
      <formula1>"Selecionar, SIM, NÃO"</formula1>
    </dataValidation>
    <dataValidation type="list" allowBlank="1" showInputMessage="1" showErrorMessage="1" sqref="F12:G12" xr:uid="{254A7306-0FFC-4C33-90C4-F5036C458AF0}">
      <formula1>int_Regime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5" orientation="portrait" r:id="rId1"/>
  <headerFooter alignWithMargins="0">
    <oddFooter>&amp;R
&amp;Z&amp;F &amp;D &amp;T</oddFooter>
  </headerFooter>
  <rowBreaks count="1" manualBreakCount="1">
    <brk id="10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695D-9441-41E8-84EB-79E24BBC1902}">
  <dimension ref="A1:Z53"/>
  <sheetViews>
    <sheetView showGridLines="0" tabSelected="1" zoomScale="85" zoomScaleNormal="85" workbookViewId="0">
      <selection activeCell="G30" sqref="G30"/>
    </sheetView>
  </sheetViews>
  <sheetFormatPr defaultColWidth="16.6640625" defaultRowHeight="13.2"/>
  <cols>
    <col min="1" max="1" width="19.109375" bestFit="1" customWidth="1"/>
    <col min="2" max="2" width="16.6640625" bestFit="1" customWidth="1"/>
    <col min="3" max="3" width="20" bestFit="1" customWidth="1"/>
    <col min="4" max="4" width="20.88671875" bestFit="1" customWidth="1"/>
    <col min="5" max="5" width="24.109375" bestFit="1" customWidth="1"/>
    <col min="14" max="14" width="16.6640625" customWidth="1"/>
    <col min="17" max="17" width="43.44140625" bestFit="1" customWidth="1"/>
    <col min="18" max="18" width="20.6640625" bestFit="1" customWidth="1"/>
    <col min="19" max="19" width="16.6640625" bestFit="1" customWidth="1"/>
    <col min="20" max="20" width="13.5546875" bestFit="1" customWidth="1"/>
    <col min="21" max="21" width="16.6640625" bestFit="1" customWidth="1"/>
    <col min="22" max="22" width="18.6640625" bestFit="1" customWidth="1"/>
    <col min="23" max="23" width="21.77734375" bestFit="1" customWidth="1"/>
    <col min="24" max="24" width="18.6640625" bestFit="1" customWidth="1"/>
    <col min="25" max="25" width="21.77734375" bestFit="1" customWidth="1"/>
  </cols>
  <sheetData>
    <row r="1" spans="1:26" ht="13.8">
      <c r="A1" s="412" t="s">
        <v>162</v>
      </c>
      <c r="H1" s="413" t="s">
        <v>163</v>
      </c>
    </row>
    <row r="3" spans="1:26">
      <c r="A3" t="s">
        <v>164</v>
      </c>
      <c r="B3" t="s">
        <v>165</v>
      </c>
      <c r="C3" t="s">
        <v>166</v>
      </c>
      <c r="D3" t="s">
        <v>167</v>
      </c>
      <c r="E3" t="s">
        <v>168</v>
      </c>
      <c r="H3" s="414" t="s">
        <v>165</v>
      </c>
      <c r="I3" s="414" t="s">
        <v>166</v>
      </c>
      <c r="J3" s="414" t="s">
        <v>167</v>
      </c>
      <c r="K3" s="414" t="s">
        <v>168</v>
      </c>
      <c r="R3" t="s">
        <v>169</v>
      </c>
    </row>
    <row r="4" spans="1:26">
      <c r="A4" t="s">
        <v>56</v>
      </c>
      <c r="B4">
        <v>19654.086919999987</v>
      </c>
      <c r="C4">
        <v>90711.170400000061</v>
      </c>
      <c r="D4">
        <v>0</v>
      </c>
      <c r="E4">
        <v>0</v>
      </c>
      <c r="F4">
        <v>3</v>
      </c>
      <c r="G4" s="417" t="s">
        <v>170</v>
      </c>
      <c r="H4" s="418">
        <v>1609.0690199999999</v>
      </c>
      <c r="I4" s="418">
        <v>7426.4723999999997</v>
      </c>
      <c r="J4" s="418">
        <v>0</v>
      </c>
      <c r="K4" s="418">
        <v>0</v>
      </c>
      <c r="R4" t="s">
        <v>171</v>
      </c>
      <c r="T4" t="s">
        <v>172</v>
      </c>
      <c r="V4" t="s">
        <v>173</v>
      </c>
      <c r="W4" t="s">
        <v>174</v>
      </c>
    </row>
    <row r="5" spans="1:26">
      <c r="A5" t="s">
        <v>175</v>
      </c>
      <c r="B5">
        <v>3013.3454000000002</v>
      </c>
      <c r="C5">
        <v>13907.748000000027</v>
      </c>
      <c r="D5">
        <v>0</v>
      </c>
      <c r="E5">
        <v>0</v>
      </c>
      <c r="F5">
        <v>6</v>
      </c>
      <c r="G5" s="417" t="s">
        <v>176</v>
      </c>
      <c r="H5" s="418">
        <v>3341.3963049999979</v>
      </c>
      <c r="I5" s="418">
        <v>15421.829099999992</v>
      </c>
      <c r="J5" s="418">
        <v>168.1654349999998</v>
      </c>
      <c r="K5" s="418">
        <v>885.32119999999998</v>
      </c>
      <c r="Q5" t="s">
        <v>164</v>
      </c>
      <c r="R5" t="s">
        <v>167</v>
      </c>
      <c r="S5" t="s">
        <v>168</v>
      </c>
      <c r="T5" t="s">
        <v>167</v>
      </c>
      <c r="U5" t="s">
        <v>168</v>
      </c>
    </row>
    <row r="6" spans="1:26">
      <c r="A6" t="s">
        <v>176</v>
      </c>
      <c r="B6">
        <v>3341.3963049999979</v>
      </c>
      <c r="C6">
        <v>15421.829099999992</v>
      </c>
      <c r="D6">
        <v>0</v>
      </c>
      <c r="E6">
        <v>0</v>
      </c>
      <c r="F6">
        <v>2</v>
      </c>
      <c r="G6" s="417" t="s">
        <v>177</v>
      </c>
      <c r="H6" s="418">
        <v>5231.8404449999935</v>
      </c>
      <c r="I6" s="418">
        <v>24146.955900000001</v>
      </c>
      <c r="J6" s="418">
        <v>3347.6803400000008</v>
      </c>
      <c r="K6" s="418">
        <v>15475.793639999982</v>
      </c>
      <c r="Q6" t="s">
        <v>158</v>
      </c>
      <c r="R6">
        <v>-531.03729206852222</v>
      </c>
      <c r="S6">
        <v>-2445.9899513459204</v>
      </c>
      <c r="T6">
        <v>-68.601282610993877</v>
      </c>
      <c r="U6">
        <v>-315.98166535972939</v>
      </c>
      <c r="V6">
        <v>-599.63857467951607</v>
      </c>
      <c r="W6">
        <v>-2761.9716167056499</v>
      </c>
    </row>
    <row r="7" spans="1:26">
      <c r="A7" t="s">
        <v>178</v>
      </c>
      <c r="B7">
        <v>8016.4217899999958</v>
      </c>
      <c r="C7">
        <v>36998.869800000051</v>
      </c>
      <c r="D7">
        <v>0</v>
      </c>
      <c r="E7">
        <v>0</v>
      </c>
      <c r="F7">
        <v>7</v>
      </c>
      <c r="G7" s="417" t="s">
        <v>178</v>
      </c>
      <c r="H7" s="418">
        <v>8016.4217899999958</v>
      </c>
      <c r="I7" s="418">
        <v>36998.869800000051</v>
      </c>
      <c r="J7" s="418">
        <v>0</v>
      </c>
      <c r="K7" s="418">
        <v>0</v>
      </c>
      <c r="Q7" t="s">
        <v>160</v>
      </c>
      <c r="T7">
        <v>-68.601282610993877</v>
      </c>
      <c r="U7">
        <v>-315.98166535972939</v>
      </c>
      <c r="V7">
        <v>-68.601282610993877</v>
      </c>
      <c r="W7">
        <v>-315.98166535972939</v>
      </c>
    </row>
    <row r="8" spans="1:26">
      <c r="A8" t="s">
        <v>177</v>
      </c>
      <c r="B8">
        <v>5282.9234249999936</v>
      </c>
      <c r="C8">
        <v>24382.7235</v>
      </c>
      <c r="D8">
        <v>0</v>
      </c>
      <c r="E8">
        <v>0</v>
      </c>
      <c r="F8">
        <v>9</v>
      </c>
      <c r="G8" s="417" t="s">
        <v>179</v>
      </c>
      <c r="H8" s="418">
        <v>0</v>
      </c>
      <c r="I8" s="418">
        <v>0</v>
      </c>
      <c r="J8" s="418">
        <v>0</v>
      </c>
      <c r="K8" s="418">
        <v>0</v>
      </c>
      <c r="Q8" t="s">
        <v>180</v>
      </c>
      <c r="T8">
        <v>-38.122481482550214</v>
      </c>
      <c r="U8">
        <v>-175.59446016204947</v>
      </c>
      <c r="V8">
        <v>-38.122481482550214</v>
      </c>
      <c r="W8">
        <v>-175.59446016204947</v>
      </c>
      <c r="Z8" s="416"/>
    </row>
    <row r="9" spans="1:26">
      <c r="A9" t="s">
        <v>181</v>
      </c>
      <c r="B9">
        <v>19654.086919999987</v>
      </c>
      <c r="C9">
        <v>90711.170400000061</v>
      </c>
      <c r="D9">
        <v>0</v>
      </c>
      <c r="E9">
        <v>0</v>
      </c>
      <c r="F9">
        <v>10</v>
      </c>
      <c r="G9" s="417" t="s">
        <v>175</v>
      </c>
      <c r="H9" s="418">
        <v>3013.3454000000002</v>
      </c>
      <c r="I9" s="418">
        <v>13907.748000000027</v>
      </c>
      <c r="J9" s="418">
        <v>116.71668499999996</v>
      </c>
      <c r="K9" s="418">
        <v>566.44748000000027</v>
      </c>
      <c r="L9" s="419" t="s">
        <v>182</v>
      </c>
      <c r="Q9" t="s">
        <v>183</v>
      </c>
      <c r="T9">
        <v>-30.478801128443667</v>
      </c>
      <c r="U9">
        <v>-140.38720519767995</v>
      </c>
      <c r="V9">
        <v>-30.478801128443667</v>
      </c>
      <c r="W9">
        <v>-140.38720519767995</v>
      </c>
      <c r="Z9" s="420"/>
    </row>
    <row r="10" spans="1:26">
      <c r="G10" s="417"/>
      <c r="H10" s="418"/>
      <c r="I10" s="418"/>
      <c r="J10" s="418"/>
      <c r="K10" s="418"/>
      <c r="L10" s="419"/>
      <c r="Q10" t="s">
        <v>161</v>
      </c>
      <c r="R10">
        <v>-531.03729206852222</v>
      </c>
      <c r="S10">
        <v>-2445.9899513459204</v>
      </c>
      <c r="V10">
        <v>-531.03729206852222</v>
      </c>
      <c r="W10">
        <v>-2445.9899513459204</v>
      </c>
    </row>
    <row r="11" spans="1:26">
      <c r="H11" s="421">
        <v>21212.07295999999</v>
      </c>
      <c r="I11" s="421">
        <v>97901.875200000068</v>
      </c>
      <c r="J11" s="421">
        <v>3632.5624600000006</v>
      </c>
      <c r="K11" s="421">
        <v>16927.562319999983</v>
      </c>
      <c r="L11" s="419"/>
      <c r="Q11" t="s">
        <v>180</v>
      </c>
      <c r="R11">
        <v>-163.40835319719523</v>
      </c>
      <c r="S11">
        <v>-752.66877836283857</v>
      </c>
      <c r="V11">
        <v>-163.40835319719523</v>
      </c>
      <c r="W11">
        <v>-752.66877836283857</v>
      </c>
    </row>
    <row r="12" spans="1:26">
      <c r="H12" s="422"/>
      <c r="J12" s="422"/>
      <c r="K12" s="422"/>
      <c r="L12" s="419"/>
      <c r="Q12" t="s">
        <v>183</v>
      </c>
      <c r="R12">
        <v>-367.62893887132702</v>
      </c>
      <c r="S12">
        <v>-1693.3211729830819</v>
      </c>
      <c r="V12">
        <v>-367.62893887132702</v>
      </c>
      <c r="W12">
        <v>-1693.3211729830819</v>
      </c>
    </row>
    <row r="13" spans="1:26">
      <c r="I13" s="419" t="s">
        <v>184</v>
      </c>
      <c r="J13" s="423">
        <v>158.67065500000007</v>
      </c>
      <c r="K13" s="423">
        <v>976.43480000000045</v>
      </c>
      <c r="L13" s="419"/>
      <c r="Q13" t="s">
        <v>181</v>
      </c>
      <c r="R13">
        <v>-531.03729206852222</v>
      </c>
      <c r="S13">
        <v>-2445.9899513459204</v>
      </c>
      <c r="T13">
        <v>-68.601282610993877</v>
      </c>
      <c r="U13">
        <v>-315.98166535972939</v>
      </c>
      <c r="V13">
        <v>-599.63857467951607</v>
      </c>
      <c r="W13">
        <v>-2761.9716167056499</v>
      </c>
    </row>
    <row r="14" spans="1:26">
      <c r="I14" s="419" t="s">
        <v>185</v>
      </c>
      <c r="J14" s="423">
        <v>3189.0096850000009</v>
      </c>
      <c r="K14" s="423">
        <v>14499.358839999981</v>
      </c>
      <c r="L14" s="424"/>
    </row>
    <row r="15" spans="1:26">
      <c r="H15" s="420"/>
      <c r="I15" s="420"/>
      <c r="J15" s="418"/>
      <c r="K15" s="418"/>
      <c r="L15" s="419"/>
    </row>
    <row r="16" spans="1:26" ht="13.8">
      <c r="A16" t="s">
        <v>186</v>
      </c>
      <c r="B16" t="s">
        <v>187</v>
      </c>
      <c r="C16" t="s">
        <v>188</v>
      </c>
      <c r="H16" s="425" t="s">
        <v>189</v>
      </c>
      <c r="J16" s="418"/>
      <c r="K16" s="418"/>
      <c r="L16" s="419"/>
    </row>
    <row r="17" spans="1:23">
      <c r="J17" s="418"/>
      <c r="K17" s="418"/>
      <c r="L17" s="419"/>
    </row>
    <row r="18" spans="1:23">
      <c r="A18" t="s">
        <v>164</v>
      </c>
      <c r="B18" t="s">
        <v>190</v>
      </c>
      <c r="C18" t="s">
        <v>191</v>
      </c>
      <c r="D18" t="s">
        <v>192</v>
      </c>
      <c r="E18" t="s">
        <v>193</v>
      </c>
      <c r="H18" s="426" t="s">
        <v>165</v>
      </c>
      <c r="I18" s="426" t="s">
        <v>166</v>
      </c>
      <c r="J18" s="427" t="s">
        <v>167</v>
      </c>
      <c r="K18" s="427" t="s">
        <v>168</v>
      </c>
      <c r="L18" s="419"/>
    </row>
    <row r="19" spans="1:23">
      <c r="A19" t="s">
        <v>176</v>
      </c>
      <c r="B19">
        <v>0</v>
      </c>
      <c r="C19">
        <v>0</v>
      </c>
      <c r="D19">
        <v>0</v>
      </c>
      <c r="E19">
        <v>0</v>
      </c>
      <c r="F19">
        <v>3</v>
      </c>
      <c r="G19" s="417" t="s">
        <v>194</v>
      </c>
      <c r="H19" s="418">
        <v>0</v>
      </c>
      <c r="I19" s="418">
        <v>0</v>
      </c>
      <c r="J19" s="418">
        <v>0</v>
      </c>
      <c r="K19" s="418">
        <v>0</v>
      </c>
      <c r="L19" s="419"/>
    </row>
    <row r="20" spans="1:23">
      <c r="A20" t="s">
        <v>177</v>
      </c>
      <c r="B20">
        <v>-51.082979999999999</v>
      </c>
      <c r="C20">
        <v>-235.76759999999999</v>
      </c>
      <c r="D20">
        <v>0</v>
      </c>
      <c r="E20">
        <v>0</v>
      </c>
      <c r="F20">
        <v>6</v>
      </c>
      <c r="G20" s="417" t="s">
        <v>180</v>
      </c>
      <c r="H20" s="418">
        <v>0</v>
      </c>
      <c r="I20" s="418">
        <v>0</v>
      </c>
      <c r="J20" s="418">
        <v>-201.53083467974545</v>
      </c>
      <c r="K20" s="418">
        <v>-928.26323852488804</v>
      </c>
      <c r="L20" s="419" t="s">
        <v>195</v>
      </c>
    </row>
    <row r="21" spans="1:23">
      <c r="A21" t="s">
        <v>181</v>
      </c>
      <c r="B21">
        <v>-51.082979999999999</v>
      </c>
      <c r="C21">
        <v>-235.76759999999999</v>
      </c>
      <c r="D21">
        <v>0</v>
      </c>
      <c r="E21">
        <v>0</v>
      </c>
      <c r="F21">
        <v>2</v>
      </c>
      <c r="G21" s="417" t="s">
        <v>183</v>
      </c>
      <c r="H21" s="418">
        <v>0</v>
      </c>
      <c r="I21" s="418">
        <v>0</v>
      </c>
      <c r="J21" s="418">
        <v>-411.52850840119157</v>
      </c>
      <c r="K21" s="418">
        <v>-1895.5252508176095</v>
      </c>
      <c r="L21" s="419"/>
      <c r="Q21" s="428"/>
      <c r="R21" s="428"/>
      <c r="S21" s="428"/>
      <c r="T21" s="428"/>
      <c r="U21" s="428"/>
      <c r="V21" s="428"/>
      <c r="W21" s="429"/>
    </row>
    <row r="22" spans="1:23">
      <c r="H22" s="418"/>
      <c r="I22" s="418"/>
      <c r="J22" s="418"/>
      <c r="K22" s="418"/>
      <c r="L22" s="430"/>
    </row>
    <row r="23" spans="1:23">
      <c r="H23" s="418"/>
      <c r="I23" s="418"/>
      <c r="J23" s="418"/>
      <c r="K23" s="418"/>
      <c r="L23" s="419"/>
    </row>
    <row r="24" spans="1:23">
      <c r="H24" s="431"/>
      <c r="I24" s="432"/>
      <c r="J24" s="432">
        <v>-613.05934308093697</v>
      </c>
      <c r="K24" s="432">
        <v>-2823.7884893424975</v>
      </c>
    </row>
    <row r="25" spans="1:23">
      <c r="G25" t="s">
        <v>196</v>
      </c>
      <c r="J25" s="418"/>
      <c r="K25" s="418"/>
    </row>
    <row r="26" spans="1:23">
      <c r="A26" s="433" t="s">
        <v>197</v>
      </c>
      <c r="D26" s="434" t="s">
        <v>198</v>
      </c>
      <c r="E26" s="435"/>
      <c r="F26" s="436"/>
      <c r="H26" s="418">
        <v>21212.072959999674</v>
      </c>
      <c r="I26" s="418">
        <v>97901.875199998467</v>
      </c>
      <c r="J26" s="418">
        <v>3019.5031169190634</v>
      </c>
      <c r="K26" s="418">
        <v>14103.773830657485</v>
      </c>
      <c r="L26" s="419" t="s">
        <v>199</v>
      </c>
    </row>
    <row r="27" spans="1:23">
      <c r="A27" s="437" t="s">
        <v>200</v>
      </c>
      <c r="B27" s="437"/>
      <c r="C27" s="438"/>
      <c r="H27" s="420">
        <v>42424.15</v>
      </c>
      <c r="I27" s="420">
        <v>97890.880000000005</v>
      </c>
      <c r="J27" s="420"/>
      <c r="K27" s="420"/>
    </row>
    <row r="28" spans="1:23">
      <c r="A28" s="439" t="s">
        <v>170</v>
      </c>
      <c r="B28" s="438">
        <v>1609.0690199999999</v>
      </c>
      <c r="C28" s="438">
        <v>7426.4723999999997</v>
      </c>
      <c r="H28" s="440">
        <v>3.1650415621697903E-10</v>
      </c>
      <c r="I28" s="441">
        <v>1.6007106751203537E-9</v>
      </c>
      <c r="J28" s="441">
        <v>0</v>
      </c>
      <c r="K28" s="442">
        <v>-1.8189894035458565E-11</v>
      </c>
      <c r="R28" s="443">
        <v>86704160000137</v>
      </c>
    </row>
    <row r="29" spans="1:23">
      <c r="H29" s="416"/>
      <c r="I29" s="416"/>
      <c r="J29" s="416"/>
      <c r="K29" s="416"/>
      <c r="R29" s="444" t="s">
        <v>201</v>
      </c>
      <c r="S29" s="444" t="s">
        <v>202</v>
      </c>
      <c r="T29" s="444" t="s">
        <v>203</v>
      </c>
      <c r="U29" s="444" t="s">
        <v>204</v>
      </c>
      <c r="V29" s="444" t="s">
        <v>205</v>
      </c>
    </row>
    <row r="30" spans="1:23">
      <c r="A30" s="415"/>
      <c r="B30" s="445"/>
      <c r="C30" s="445"/>
      <c r="D30" s="445"/>
      <c r="E30" s="445"/>
      <c r="H30" s="420"/>
      <c r="J30" s="418"/>
      <c r="K30" s="420"/>
      <c r="R30" s="446" t="s">
        <v>206</v>
      </c>
      <c r="S30" s="446" t="s">
        <v>220</v>
      </c>
      <c r="T30" s="447">
        <v>21212.072959999674</v>
      </c>
      <c r="U30" s="448" t="s">
        <v>207</v>
      </c>
      <c r="V30" s="449">
        <v>45870</v>
      </c>
    </row>
    <row r="31" spans="1:23">
      <c r="A31" t="s">
        <v>164</v>
      </c>
      <c r="B31" t="s">
        <v>208</v>
      </c>
      <c r="C31" t="s">
        <v>209</v>
      </c>
      <c r="D31" t="s">
        <v>210</v>
      </c>
      <c r="E31" t="s">
        <v>211</v>
      </c>
      <c r="R31" s="446" t="s">
        <v>212</v>
      </c>
      <c r="S31" s="446" t="s">
        <v>221</v>
      </c>
      <c r="T31" s="447">
        <v>97901.875199998467</v>
      </c>
      <c r="U31" s="448" t="s">
        <v>213</v>
      </c>
      <c r="V31" s="449">
        <v>45871</v>
      </c>
    </row>
    <row r="32" spans="1:23">
      <c r="A32" t="s">
        <v>176</v>
      </c>
      <c r="B32">
        <v>0</v>
      </c>
      <c r="C32">
        <v>0</v>
      </c>
      <c r="D32">
        <v>168.1654349999998</v>
      </c>
      <c r="E32">
        <v>885.32119999999998</v>
      </c>
      <c r="R32" s="446" t="s">
        <v>214</v>
      </c>
      <c r="S32" s="446" t="s">
        <v>222</v>
      </c>
      <c r="T32" s="447">
        <v>0</v>
      </c>
      <c r="U32" s="448" t="s">
        <v>215</v>
      </c>
      <c r="V32" s="449">
        <v>45872</v>
      </c>
    </row>
    <row r="33" spans="1:22">
      <c r="A33" t="s">
        <v>177</v>
      </c>
      <c r="B33">
        <v>0</v>
      </c>
      <c r="C33">
        <v>0</v>
      </c>
      <c r="D33">
        <v>3347.6803400000008</v>
      </c>
      <c r="E33">
        <v>15475.793639999982</v>
      </c>
      <c r="R33" s="446" t="s">
        <v>216</v>
      </c>
      <c r="S33" s="446" t="s">
        <v>223</v>
      </c>
      <c r="T33" s="447">
        <v>-1.8189894035458565E-11</v>
      </c>
      <c r="U33" s="448" t="s">
        <v>217</v>
      </c>
      <c r="V33" s="449">
        <v>45873</v>
      </c>
    </row>
    <row r="34" spans="1:22">
      <c r="A34" t="s">
        <v>218</v>
      </c>
      <c r="R34" s="412"/>
      <c r="S34" s="412"/>
      <c r="T34" s="412"/>
      <c r="U34" s="412"/>
      <c r="V34" s="412"/>
    </row>
    <row r="35" spans="1:22">
      <c r="A35" t="s">
        <v>175</v>
      </c>
      <c r="B35">
        <v>0</v>
      </c>
      <c r="C35">
        <v>0</v>
      </c>
      <c r="D35">
        <v>116.71668499999996</v>
      </c>
      <c r="E35">
        <v>566.44748000000027</v>
      </c>
      <c r="R35" s="412"/>
      <c r="S35" s="412"/>
      <c r="T35" s="412"/>
      <c r="U35" s="412"/>
      <c r="V35" s="412"/>
    </row>
    <row r="36" spans="1:22">
      <c r="A36" t="s">
        <v>181</v>
      </c>
      <c r="B36">
        <v>0</v>
      </c>
      <c r="C36">
        <v>0</v>
      </c>
      <c r="D36">
        <v>3632.5624600000006</v>
      </c>
      <c r="E36">
        <v>16927.562319999983</v>
      </c>
    </row>
    <row r="38" spans="1:22">
      <c r="J38" s="420"/>
      <c r="K38" s="420"/>
    </row>
    <row r="40" spans="1:22">
      <c r="A40" s="412" t="s">
        <v>219</v>
      </c>
    </row>
    <row r="41" spans="1:22">
      <c r="D41" s="422"/>
      <c r="E41" s="422"/>
      <c r="I41" s="420"/>
      <c r="J41" s="418"/>
      <c r="K41" s="420"/>
    </row>
    <row r="42" spans="1:22">
      <c r="A42" t="s">
        <v>164</v>
      </c>
      <c r="B42" t="s">
        <v>208</v>
      </c>
      <c r="C42" t="s">
        <v>209</v>
      </c>
      <c r="D42" t="s">
        <v>210</v>
      </c>
      <c r="E42" t="s">
        <v>211</v>
      </c>
    </row>
    <row r="43" spans="1:22">
      <c r="A43" t="s">
        <v>180</v>
      </c>
      <c r="B43">
        <v>0</v>
      </c>
      <c r="C43">
        <v>0</v>
      </c>
      <c r="D43">
        <v>-201.53083467974545</v>
      </c>
      <c r="E43">
        <v>-928.26323852488804</v>
      </c>
      <c r="J43" s="416"/>
      <c r="K43" s="418"/>
    </row>
    <row r="44" spans="1:22">
      <c r="A44" t="s">
        <v>183</v>
      </c>
      <c r="B44">
        <v>0</v>
      </c>
      <c r="C44">
        <v>0</v>
      </c>
      <c r="D44">
        <v>-411.52850840119157</v>
      </c>
      <c r="E44">
        <v>-1895.5252508176095</v>
      </c>
      <c r="L44" s="422"/>
    </row>
    <row r="45" spans="1:22">
      <c r="A45" t="s">
        <v>181</v>
      </c>
      <c r="B45">
        <v>0</v>
      </c>
      <c r="C45">
        <v>0</v>
      </c>
      <c r="D45">
        <v>-613.05934308093697</v>
      </c>
      <c r="E45">
        <v>-2823.7884893424975</v>
      </c>
      <c r="I45" s="450"/>
      <c r="J45" s="416"/>
      <c r="K45" s="416"/>
    </row>
    <row r="48" spans="1:22">
      <c r="J48" s="422"/>
      <c r="K48" s="422"/>
    </row>
    <row r="49" spans="9:10">
      <c r="J49" s="422"/>
    </row>
    <row r="51" spans="9:10">
      <c r="I51" s="420"/>
      <c r="J51" s="420"/>
    </row>
    <row r="53" spans="9:10">
      <c r="J53" s="420"/>
    </row>
  </sheetData>
  <conditionalFormatting sqref="R28">
    <cfRule type="expression" dxfId="22" priority="1" stopIfTrue="1">
      <formula>IF($N$11="",1)</formula>
    </cfRule>
  </conditionalFormatting>
  <dataValidations count="1">
    <dataValidation allowBlank="1" showInputMessage="1" showErrorMessage="1" promptTitle="Alerta!" prompt="Preencher somente com números" sqref="R28" xr:uid="{16BAA4B9-0006-4383-AE28-B01C7CF5B22A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12</vt:i4>
      </vt:variant>
    </vt:vector>
  </HeadingPairs>
  <TitlesOfParts>
    <vt:vector size="15" baseType="lpstr">
      <vt:lpstr>PACONT CUMULATIVO</vt:lpstr>
      <vt:lpstr>PACONT NÃO CUMULATIVO</vt:lpstr>
      <vt:lpstr>Pis-Cofins - Filial</vt:lpstr>
      <vt:lpstr>'PACONT CUMULATIVO'!Area_de_impressao</vt:lpstr>
      <vt:lpstr>'PACONT NÃO CUMULATIVO'!Area_de_impressao</vt:lpstr>
      <vt:lpstr>'PACONT NÃO CUMULATIVO'!parm_CPRB.Perc</vt:lpstr>
      <vt:lpstr>parm_CPRB.Perc</vt:lpstr>
      <vt:lpstr>'PACONT NÃO CUMULATIVO'!parm_Data</vt:lpstr>
      <vt:lpstr>parm_Data</vt:lpstr>
      <vt:lpstr>'PACONT NÃO CUMULATIVO'!parm_MetodoRateio</vt:lpstr>
      <vt:lpstr>parm_MetodoRateio</vt:lpstr>
      <vt:lpstr>'PACONT NÃO CUMULATIVO'!parm_Regime</vt:lpstr>
      <vt:lpstr>parm_Regime</vt:lpstr>
      <vt:lpstr>'PACONT NÃO CUMULATIVO'!parm_Tributacao</vt:lpstr>
      <vt:lpstr>parm_Tributacao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Luanda Soares da Silva</dc:creator>
  <cp:lastModifiedBy>Luanda Soares da Silva</cp:lastModifiedBy>
  <dcterms:created xsi:type="dcterms:W3CDTF">2026-08-09T01:35:06Z</dcterms:created>
  <dcterms:modified xsi:type="dcterms:W3CDTF">2026-08-09T01:37:16Z</dcterms:modified>
</cp:coreProperties>
</file>